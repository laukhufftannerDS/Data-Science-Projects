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stevensonuniversity-my.sharepoint.com/personal/tlaukhuff_stevenson_edu/Documents/Documents/Math 418/Math 418 Final Project/"/>
    </mc:Choice>
  </mc:AlternateContent>
  <xr:revisionPtr revIDLastSave="227" documentId="11_F25DC773A252ABDACC10487CA9D957605BDE58E2" xr6:coauthVersionLast="47" xr6:coauthVersionMax="47" xr10:uidLastSave="{61BF5402-24B1-492D-B008-993CBC4A5BA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1" l="1"/>
  <c r="S14" i="1"/>
  <c r="S13" i="1"/>
  <c r="S12" i="1"/>
  <c r="S11" i="1"/>
  <c r="S10" i="1"/>
  <c r="S9" i="1"/>
  <c r="S8" i="1"/>
  <c r="S7" i="1"/>
  <c r="S6" i="1"/>
  <c r="S5" i="1"/>
  <c r="S4" i="1"/>
  <c r="K5" i="1" s="1"/>
  <c r="K6" i="1" s="1"/>
  <c r="R15" i="1"/>
  <c r="R14" i="1"/>
  <c r="R13" i="1"/>
  <c r="R12" i="1"/>
  <c r="R11" i="1"/>
  <c r="R10" i="1"/>
  <c r="R9" i="1"/>
  <c r="R8" i="1"/>
  <c r="R7" i="1"/>
  <c r="R6" i="1"/>
  <c r="R5" i="1"/>
  <c r="M5" i="1"/>
  <c r="R4" i="1"/>
  <c r="L5" i="1" s="1"/>
  <c r="O4" i="1"/>
  <c r="M4" i="1"/>
  <c r="I5" i="1"/>
  <c r="H5" i="1"/>
  <c r="F5" i="1"/>
  <c r="F6" i="1"/>
  <c r="F7" i="1"/>
  <c r="F8" i="1"/>
  <c r="F9" i="1"/>
  <c r="F10" i="1"/>
  <c r="F11" i="1"/>
  <c r="F12" i="1"/>
  <c r="F13" i="1"/>
  <c r="I13" i="1" s="1"/>
  <c r="F14" i="1"/>
  <c r="F15" i="1"/>
  <c r="F16" i="1"/>
  <c r="F17" i="1"/>
  <c r="I17" i="1" s="1"/>
  <c r="F18" i="1"/>
  <c r="F19" i="1"/>
  <c r="F20" i="1"/>
  <c r="F21" i="1"/>
  <c r="F22" i="1"/>
  <c r="I22" i="1" s="1"/>
  <c r="F23" i="1"/>
  <c r="I23" i="1" s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I50" i="1" s="1"/>
  <c r="F51" i="1"/>
  <c r="F52" i="1"/>
  <c r="F53" i="1"/>
  <c r="I53" i="1" s="1"/>
  <c r="F54" i="1"/>
  <c r="F55" i="1"/>
  <c r="F56" i="1"/>
  <c r="I56" i="1" s="1"/>
  <c r="F57" i="1"/>
  <c r="I57" i="1" s="1"/>
  <c r="F58" i="1"/>
  <c r="I58" i="1" s="1"/>
  <c r="F59" i="1"/>
  <c r="I59" i="1" s="1"/>
  <c r="F60" i="1"/>
  <c r="I60" i="1" s="1"/>
  <c r="F61" i="1"/>
  <c r="I61" i="1" s="1"/>
  <c r="F62" i="1"/>
  <c r="I62" i="1" s="1"/>
  <c r="F63" i="1"/>
  <c r="I63" i="1" s="1"/>
  <c r="F64" i="1"/>
  <c r="F65" i="1"/>
  <c r="F66" i="1"/>
  <c r="F67" i="1"/>
  <c r="F68" i="1"/>
  <c r="F69" i="1"/>
  <c r="F70" i="1"/>
  <c r="F71" i="1"/>
  <c r="F72" i="1"/>
  <c r="F73" i="1"/>
  <c r="I73" i="1" s="1"/>
  <c r="F74" i="1"/>
  <c r="F75" i="1"/>
  <c r="F76" i="1"/>
  <c r="F77" i="1"/>
  <c r="F78" i="1"/>
  <c r="I78" i="1" s="1"/>
  <c r="F79" i="1"/>
  <c r="I79" i="1" s="1"/>
  <c r="F80" i="1"/>
  <c r="I80" i="1" s="1"/>
  <c r="F81" i="1"/>
  <c r="I81" i="1" s="1"/>
  <c r="F82" i="1"/>
  <c r="I82" i="1" s="1"/>
  <c r="F83" i="1"/>
  <c r="I83" i="1" s="1"/>
  <c r="F84" i="1"/>
  <c r="F85" i="1"/>
  <c r="F86" i="1"/>
  <c r="F87" i="1"/>
  <c r="F88" i="1"/>
  <c r="F89" i="1"/>
  <c r="F90" i="1"/>
  <c r="I90" i="1" s="1"/>
  <c r="F91" i="1"/>
  <c r="I91" i="1" s="1"/>
  <c r="F92" i="1"/>
  <c r="I92" i="1" s="1"/>
  <c r="F93" i="1"/>
  <c r="F94" i="1"/>
  <c r="F95" i="1"/>
  <c r="F96" i="1"/>
  <c r="F97" i="1"/>
  <c r="I97" i="1" s="1"/>
  <c r="F98" i="1"/>
  <c r="I98" i="1" s="1"/>
  <c r="F99" i="1"/>
  <c r="I99" i="1" s="1"/>
  <c r="F100" i="1"/>
  <c r="I100" i="1" s="1"/>
  <c r="F101" i="1"/>
  <c r="I101" i="1" s="1"/>
  <c r="F102" i="1"/>
  <c r="I102" i="1" s="1"/>
  <c r="F103" i="1"/>
  <c r="I103" i="1" s="1"/>
  <c r="F104" i="1"/>
  <c r="F105" i="1"/>
  <c r="F106" i="1"/>
  <c r="F107" i="1"/>
  <c r="F108" i="1"/>
  <c r="F109" i="1"/>
  <c r="F110" i="1"/>
  <c r="F111" i="1"/>
  <c r="I111" i="1" s="1"/>
  <c r="F112" i="1"/>
  <c r="I112" i="1" s="1"/>
  <c r="F113" i="1"/>
  <c r="F114" i="1"/>
  <c r="F115" i="1"/>
  <c r="F116" i="1"/>
  <c r="F117" i="1"/>
  <c r="I117" i="1" s="1"/>
  <c r="F118" i="1"/>
  <c r="I118" i="1" s="1"/>
  <c r="F119" i="1"/>
  <c r="F120" i="1"/>
  <c r="I120" i="1" s="1"/>
  <c r="F121" i="1"/>
  <c r="I121" i="1" s="1"/>
  <c r="F122" i="1"/>
  <c r="I122" i="1" s="1"/>
  <c r="F123" i="1"/>
  <c r="I123" i="1" s="1"/>
  <c r="F124" i="1"/>
  <c r="I124" i="1" s="1"/>
  <c r="F125" i="1"/>
  <c r="F126" i="1"/>
  <c r="F127" i="1"/>
  <c r="F128" i="1"/>
  <c r="F129" i="1"/>
  <c r="F130" i="1"/>
  <c r="I130" i="1" s="1"/>
  <c r="F131" i="1"/>
  <c r="I131" i="1" s="1"/>
  <c r="F132" i="1"/>
  <c r="F133" i="1"/>
  <c r="F134" i="1"/>
  <c r="F135" i="1"/>
  <c r="F136" i="1"/>
  <c r="I136" i="1" s="1"/>
  <c r="F137" i="1"/>
  <c r="I137" i="1" s="1"/>
  <c r="F138" i="1"/>
  <c r="I138" i="1" s="1"/>
  <c r="F139" i="1"/>
  <c r="I139" i="1" s="1"/>
  <c r="F140" i="1"/>
  <c r="I140" i="1" s="1"/>
  <c r="F141" i="1"/>
  <c r="I141" i="1" s="1"/>
  <c r="F142" i="1"/>
  <c r="I142" i="1" s="1"/>
  <c r="F143" i="1"/>
  <c r="I143" i="1" s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I157" i="1" s="1"/>
  <c r="F158" i="1"/>
  <c r="I158" i="1" s="1"/>
  <c r="F159" i="1"/>
  <c r="I159" i="1" s="1"/>
  <c r="F160" i="1"/>
  <c r="I160" i="1" s="1"/>
  <c r="F161" i="1"/>
  <c r="I161" i="1" s="1"/>
  <c r="F162" i="1"/>
  <c r="I162" i="1" s="1"/>
  <c r="F163" i="1"/>
  <c r="I163" i="1" s="1"/>
  <c r="F164" i="1"/>
  <c r="F165" i="1"/>
  <c r="F166" i="1"/>
  <c r="F167" i="1"/>
  <c r="F168" i="1"/>
  <c r="F169" i="1"/>
  <c r="F170" i="1"/>
  <c r="I170" i="1" s="1"/>
  <c r="F171" i="1"/>
  <c r="F172" i="1"/>
  <c r="F173" i="1"/>
  <c r="F174" i="1"/>
  <c r="F175" i="1"/>
  <c r="F176" i="1"/>
  <c r="F177" i="1"/>
  <c r="F178" i="1"/>
  <c r="I178" i="1" s="1"/>
  <c r="F179" i="1"/>
  <c r="I179" i="1" s="1"/>
  <c r="F180" i="1"/>
  <c r="F181" i="1"/>
  <c r="I181" i="1" s="1"/>
  <c r="F182" i="1"/>
  <c r="I182" i="1" s="1"/>
  <c r="F183" i="1"/>
  <c r="I183" i="1" s="1"/>
  <c r="F184" i="1"/>
  <c r="F185" i="1"/>
  <c r="F186" i="1"/>
  <c r="F187" i="1"/>
  <c r="F188" i="1"/>
  <c r="F189" i="1"/>
  <c r="F190" i="1"/>
  <c r="F191" i="1"/>
  <c r="F192" i="1"/>
  <c r="F193" i="1"/>
  <c r="I193" i="1" s="1"/>
  <c r="F194" i="1"/>
  <c r="I194" i="1" s="1"/>
  <c r="F195" i="1"/>
  <c r="F196" i="1"/>
  <c r="F197" i="1"/>
  <c r="F198" i="1"/>
  <c r="I198" i="1" s="1"/>
  <c r="F199" i="1"/>
  <c r="I199" i="1" s="1"/>
  <c r="F200" i="1"/>
  <c r="I200" i="1" s="1"/>
  <c r="F201" i="1"/>
  <c r="I201" i="1" s="1"/>
  <c r="F202" i="1"/>
  <c r="I202" i="1" s="1"/>
  <c r="F203" i="1"/>
  <c r="I203" i="1" s="1"/>
  <c r="F204" i="1"/>
  <c r="F205" i="1"/>
  <c r="F206" i="1"/>
  <c r="F207" i="1"/>
  <c r="F208" i="1"/>
  <c r="F209" i="1"/>
  <c r="F210" i="1"/>
  <c r="F211" i="1"/>
  <c r="F212" i="1"/>
  <c r="F213" i="1"/>
  <c r="I213" i="1" s="1"/>
  <c r="F214" i="1"/>
  <c r="I214" i="1" s="1"/>
  <c r="F215" i="1"/>
  <c r="F216" i="1"/>
  <c r="F217" i="1"/>
  <c r="F218" i="1"/>
  <c r="I218" i="1" s="1"/>
  <c r="F219" i="1"/>
  <c r="I219" i="1" s="1"/>
  <c r="F220" i="1"/>
  <c r="I220" i="1" s="1"/>
  <c r="F221" i="1"/>
  <c r="I221" i="1" s="1"/>
  <c r="F222" i="1"/>
  <c r="I222" i="1" s="1"/>
  <c r="F223" i="1"/>
  <c r="I223" i="1" s="1"/>
  <c r="F224" i="1"/>
  <c r="F225" i="1"/>
  <c r="F226" i="1"/>
  <c r="F227" i="1"/>
  <c r="F228" i="1"/>
  <c r="F229" i="1"/>
  <c r="F230" i="1"/>
  <c r="F231" i="1"/>
  <c r="F232" i="1"/>
  <c r="I232" i="1" s="1"/>
  <c r="F233" i="1"/>
  <c r="F234" i="1"/>
  <c r="F235" i="1"/>
  <c r="I235" i="1" s="1"/>
  <c r="F236" i="1"/>
  <c r="F237" i="1"/>
  <c r="F238" i="1"/>
  <c r="I238" i="1" s="1"/>
  <c r="F239" i="1"/>
  <c r="I239" i="1" s="1"/>
  <c r="F240" i="1"/>
  <c r="I240" i="1" s="1"/>
  <c r="F241" i="1"/>
  <c r="I241" i="1" s="1"/>
  <c r="F242" i="1"/>
  <c r="I242" i="1" s="1"/>
  <c r="F243" i="1"/>
  <c r="I243" i="1" s="1"/>
  <c r="F244" i="1"/>
  <c r="F245" i="1"/>
  <c r="F246" i="1"/>
  <c r="F247" i="1"/>
  <c r="F248" i="1"/>
  <c r="F249" i="1"/>
  <c r="F250" i="1"/>
  <c r="I250" i="1" s="1"/>
  <c r="F251" i="1"/>
  <c r="F252" i="1"/>
  <c r="F253" i="1"/>
  <c r="F254" i="1"/>
  <c r="I254" i="1" s="1"/>
  <c r="F255" i="1"/>
  <c r="I255" i="1" s="1"/>
  <c r="F256" i="1"/>
  <c r="I256" i="1" s="1"/>
  <c r="F257" i="1"/>
  <c r="I257" i="1" s="1"/>
  <c r="F258" i="1"/>
  <c r="F259" i="1"/>
  <c r="F260" i="1"/>
  <c r="I260" i="1" s="1"/>
  <c r="F261" i="1"/>
  <c r="I261" i="1" s="1"/>
  <c r="F262" i="1"/>
  <c r="I262" i="1" s="1"/>
  <c r="F263" i="1"/>
  <c r="I263" i="1" s="1"/>
  <c r="F264" i="1"/>
  <c r="F265" i="1"/>
  <c r="F266" i="1"/>
  <c r="F267" i="1"/>
  <c r="F268" i="1"/>
  <c r="F269" i="1"/>
  <c r="F270" i="1"/>
  <c r="I270" i="1" s="1"/>
  <c r="F271" i="1"/>
  <c r="I271" i="1" s="1"/>
  <c r="F272" i="1"/>
  <c r="I272" i="1" s="1"/>
  <c r="F273" i="1"/>
  <c r="F274" i="1"/>
  <c r="F275" i="1"/>
  <c r="I275" i="1" s="1"/>
  <c r="F276" i="1"/>
  <c r="F277" i="1"/>
  <c r="I277" i="1" s="1"/>
  <c r="F278" i="1"/>
  <c r="F279" i="1"/>
  <c r="F280" i="1"/>
  <c r="F281" i="1"/>
  <c r="I281" i="1" s="1"/>
  <c r="F282" i="1"/>
  <c r="F283" i="1"/>
  <c r="F284" i="1"/>
  <c r="F285" i="1"/>
  <c r="F286" i="1"/>
  <c r="F287" i="1"/>
  <c r="F288" i="1"/>
  <c r="F289" i="1"/>
  <c r="F290" i="1"/>
  <c r="I290" i="1" s="1"/>
  <c r="F291" i="1"/>
  <c r="I291" i="1" s="1"/>
  <c r="F292" i="1"/>
  <c r="I292" i="1" s="1"/>
  <c r="F293" i="1"/>
  <c r="I293" i="1" s="1"/>
  <c r="F294" i="1"/>
  <c r="F295" i="1"/>
  <c r="F296" i="1"/>
  <c r="I296" i="1" s="1"/>
  <c r="F297" i="1"/>
  <c r="I297" i="1" s="1"/>
  <c r="F298" i="1"/>
  <c r="I298" i="1" s="1"/>
  <c r="F299" i="1"/>
  <c r="I299" i="1" s="1"/>
  <c r="F300" i="1"/>
  <c r="F301" i="1"/>
  <c r="F302" i="1"/>
  <c r="I302" i="1" s="1"/>
  <c r="F303" i="1"/>
  <c r="I303" i="1" s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I316" i="1" s="1"/>
  <c r="F317" i="1"/>
  <c r="F318" i="1"/>
  <c r="F319" i="1"/>
  <c r="I319" i="1" s="1"/>
  <c r="F320" i="1"/>
  <c r="I320" i="1" s="1"/>
  <c r="F321" i="1"/>
  <c r="F322" i="1"/>
  <c r="I322" i="1" s="1"/>
  <c r="F323" i="1"/>
  <c r="I323" i="1" s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I339" i="1" s="1"/>
  <c r="F340" i="1"/>
  <c r="F341" i="1"/>
  <c r="F342" i="1"/>
  <c r="F343" i="1"/>
  <c r="F344" i="1"/>
  <c r="F345" i="1"/>
  <c r="F346" i="1"/>
  <c r="F347" i="1"/>
  <c r="F348" i="1"/>
  <c r="F349" i="1"/>
  <c r="F350" i="1"/>
  <c r="F351" i="1"/>
  <c r="I351" i="1" s="1"/>
  <c r="F352" i="1"/>
  <c r="F353" i="1"/>
  <c r="I353" i="1" s="1"/>
  <c r="F354" i="1"/>
  <c r="I354" i="1" s="1"/>
  <c r="F355" i="1"/>
  <c r="I355" i="1" s="1"/>
  <c r="F356" i="1"/>
  <c r="F357" i="1"/>
  <c r="I357" i="1" s="1"/>
  <c r="F358" i="1"/>
  <c r="I358" i="1" s="1"/>
  <c r="F359" i="1"/>
  <c r="I359" i="1" s="1"/>
  <c r="F360" i="1"/>
  <c r="F361" i="1"/>
  <c r="F362" i="1"/>
  <c r="F363" i="1"/>
  <c r="F364" i="1"/>
  <c r="F365" i="1"/>
  <c r="F366" i="1"/>
  <c r="F367" i="1"/>
  <c r="F368" i="1"/>
  <c r="I24" i="1"/>
  <c r="I35" i="1"/>
  <c r="I36" i="1"/>
  <c r="I37" i="1"/>
  <c r="I38" i="1"/>
  <c r="I39" i="1"/>
  <c r="I40" i="1"/>
  <c r="I41" i="1"/>
  <c r="I42" i="1"/>
  <c r="I43" i="1"/>
  <c r="I44" i="1"/>
  <c r="I93" i="1"/>
  <c r="I104" i="1"/>
  <c r="I113" i="1"/>
  <c r="I116" i="1"/>
  <c r="I144" i="1"/>
  <c r="I180" i="1"/>
  <c r="I215" i="1"/>
  <c r="I224" i="1"/>
  <c r="I233" i="1"/>
  <c r="I244" i="1"/>
  <c r="I264" i="1"/>
  <c r="I280" i="1"/>
  <c r="I282" i="1"/>
  <c r="I283" i="1"/>
  <c r="I284" i="1"/>
  <c r="I304" i="1"/>
  <c r="I324" i="1"/>
  <c r="I336" i="1"/>
  <c r="I337" i="1"/>
  <c r="I338" i="1"/>
  <c r="I340" i="1"/>
  <c r="I341" i="1"/>
  <c r="I342" i="1"/>
  <c r="I343" i="1"/>
  <c r="I344" i="1"/>
  <c r="F4" i="1"/>
  <c r="I96" i="1"/>
  <c r="I173" i="1"/>
  <c r="I174" i="1"/>
  <c r="I177" i="1"/>
  <c r="I364" i="1"/>
  <c r="I11" i="1"/>
  <c r="I12" i="1"/>
  <c r="I31" i="1"/>
  <c r="I32" i="1"/>
  <c r="I47" i="1"/>
  <c r="I52" i="1"/>
  <c r="I70" i="1"/>
  <c r="I71" i="1"/>
  <c r="I72" i="1"/>
  <c r="I76" i="1"/>
  <c r="I77" i="1"/>
  <c r="I132" i="1"/>
  <c r="I151" i="1"/>
  <c r="I152" i="1"/>
  <c r="I153" i="1"/>
  <c r="I172" i="1"/>
  <c r="I190" i="1"/>
  <c r="I192" i="1"/>
  <c r="I195" i="1"/>
  <c r="I210" i="1"/>
  <c r="I212" i="1"/>
  <c r="I227" i="1"/>
  <c r="I307" i="1"/>
  <c r="I312" i="1"/>
  <c r="I327" i="1"/>
  <c r="I329" i="1"/>
  <c r="I330" i="1"/>
  <c r="I347" i="1"/>
  <c r="I350" i="1"/>
  <c r="I352" i="1"/>
  <c r="I356" i="1"/>
  <c r="I14" i="1"/>
  <c r="I171" i="1"/>
  <c r="I253" i="1"/>
  <c r="I274" i="1"/>
  <c r="I276" i="1"/>
  <c r="I6" i="1"/>
  <c r="I7" i="1"/>
  <c r="I8" i="1"/>
  <c r="I25" i="1"/>
  <c r="I26" i="1"/>
  <c r="I27" i="1"/>
  <c r="I29" i="1"/>
  <c r="I30" i="1"/>
  <c r="I45" i="1"/>
  <c r="I46" i="1"/>
  <c r="I65" i="1"/>
  <c r="I66" i="1"/>
  <c r="I67" i="1"/>
  <c r="I68" i="1"/>
  <c r="I85" i="1"/>
  <c r="I86" i="1"/>
  <c r="I87" i="1"/>
  <c r="I88" i="1"/>
  <c r="I105" i="1"/>
  <c r="I106" i="1"/>
  <c r="I108" i="1"/>
  <c r="I110" i="1"/>
  <c r="I125" i="1"/>
  <c r="I126" i="1"/>
  <c r="I127" i="1"/>
  <c r="I128" i="1"/>
  <c r="I133" i="1"/>
  <c r="I145" i="1"/>
  <c r="I146" i="1"/>
  <c r="I147" i="1"/>
  <c r="I148" i="1"/>
  <c r="I150" i="1"/>
  <c r="I165" i="1"/>
  <c r="I166" i="1"/>
  <c r="I167" i="1"/>
  <c r="I168" i="1"/>
  <c r="I169" i="1"/>
  <c r="I185" i="1"/>
  <c r="I186" i="1"/>
  <c r="I187" i="1"/>
  <c r="I205" i="1"/>
  <c r="I206" i="1"/>
  <c r="I207" i="1"/>
  <c r="I208" i="1"/>
  <c r="I209" i="1"/>
  <c r="I226" i="1"/>
  <c r="I228" i="1"/>
  <c r="I229" i="1"/>
  <c r="I230" i="1"/>
  <c r="I234" i="1"/>
  <c r="I245" i="1"/>
  <c r="I246" i="1"/>
  <c r="I248" i="1"/>
  <c r="I249" i="1"/>
  <c r="I265" i="1"/>
  <c r="I266" i="1"/>
  <c r="I267" i="1"/>
  <c r="I268" i="1"/>
  <c r="I269" i="1"/>
  <c r="I288" i="1"/>
  <c r="I289" i="1"/>
  <c r="I294" i="1"/>
  <c r="I305" i="1"/>
  <c r="I306" i="1"/>
  <c r="I308" i="1"/>
  <c r="I309" i="1"/>
  <c r="I311" i="1"/>
  <c r="I313" i="1"/>
  <c r="I314" i="1"/>
  <c r="I315" i="1"/>
  <c r="I325" i="1"/>
  <c r="I326" i="1"/>
  <c r="I328" i="1"/>
  <c r="I348" i="1"/>
  <c r="I349" i="1"/>
  <c r="E368" i="1"/>
  <c r="E361" i="1"/>
  <c r="E362" i="1" s="1"/>
  <c r="E332" i="1"/>
  <c r="E333" i="1" s="1"/>
  <c r="E318" i="1"/>
  <c r="E287" i="1"/>
  <c r="E286" i="1"/>
  <c r="E251" i="1"/>
  <c r="E252" i="1" s="1"/>
  <c r="E189" i="1"/>
  <c r="E154" i="1"/>
  <c r="E49" i="1"/>
  <c r="E19" i="1"/>
  <c r="E16" i="1"/>
  <c r="C6" i="1"/>
  <c r="C7" i="1"/>
  <c r="C8" i="1"/>
  <c r="C9" i="1"/>
  <c r="C10" i="1"/>
  <c r="C11" i="1"/>
  <c r="C12" i="1"/>
  <c r="C13" i="1"/>
  <c r="C14" i="1"/>
  <c r="C15" i="1"/>
  <c r="C16" i="1"/>
  <c r="C17" i="1"/>
  <c r="G17" i="1" s="1"/>
  <c r="C18" i="1"/>
  <c r="G18" i="1" s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5" i="1"/>
  <c r="L6" i="1" l="1"/>
  <c r="L7" i="1" s="1"/>
  <c r="K7" i="1"/>
  <c r="K8" i="1" s="1"/>
  <c r="M6" i="1"/>
  <c r="M7" i="1" s="1"/>
  <c r="M8" i="1" s="1"/>
  <c r="G13" i="1"/>
  <c r="G293" i="1"/>
  <c r="G73" i="1"/>
  <c r="G273" i="1"/>
  <c r="G153" i="1"/>
  <c r="I317" i="1"/>
  <c r="G93" i="1"/>
  <c r="G16" i="1"/>
  <c r="G253" i="1"/>
  <c r="G173" i="1"/>
  <c r="I318" i="1"/>
  <c r="G325" i="1"/>
  <c r="G25" i="1"/>
  <c r="I310" i="1"/>
  <c r="G193" i="1"/>
  <c r="G213" i="1"/>
  <c r="G323" i="1"/>
  <c r="G23" i="1"/>
  <c r="G333" i="1"/>
  <c r="G113" i="1"/>
  <c r="G343" i="1"/>
  <c r="G283" i="1"/>
  <c r="G203" i="1"/>
  <c r="G123" i="1"/>
  <c r="G103" i="1"/>
  <c r="G21" i="1"/>
  <c r="G233" i="1"/>
  <c r="G33" i="1"/>
  <c r="G303" i="1"/>
  <c r="G223" i="1"/>
  <c r="G183" i="1"/>
  <c r="G83" i="1"/>
  <c r="I119" i="1"/>
  <c r="G313" i="1"/>
  <c r="G133" i="1"/>
  <c r="G243" i="1"/>
  <c r="G143" i="1"/>
  <c r="G43" i="1"/>
  <c r="G20" i="1"/>
  <c r="G353" i="1"/>
  <c r="G53" i="1"/>
  <c r="G263" i="1"/>
  <c r="G163" i="1"/>
  <c r="G63" i="1"/>
  <c r="G19" i="1"/>
  <c r="I55" i="1"/>
  <c r="G72" i="1"/>
  <c r="I216" i="1"/>
  <c r="I217" i="1"/>
  <c r="G32" i="1"/>
  <c r="I33" i="1"/>
  <c r="G292" i="1"/>
  <c r="I9" i="1"/>
  <c r="I346" i="1"/>
  <c r="I34" i="1"/>
  <c r="G192" i="1"/>
  <c r="I300" i="1"/>
  <c r="I74" i="1"/>
  <c r="I75" i="1"/>
  <c r="G212" i="1"/>
  <c r="I196" i="1"/>
  <c r="I95" i="1"/>
  <c r="G232" i="1"/>
  <c r="I94" i="1"/>
  <c r="G181" i="1"/>
  <c r="I176" i="1"/>
  <c r="G312" i="1"/>
  <c r="G112" i="1"/>
  <c r="I321" i="1"/>
  <c r="I114" i="1"/>
  <c r="G361" i="1"/>
  <c r="G261" i="1"/>
  <c r="G161" i="1"/>
  <c r="G41" i="1"/>
  <c r="G260" i="1"/>
  <c r="G140" i="1"/>
  <c r="I259" i="1"/>
  <c r="I135" i="1"/>
  <c r="G272" i="1"/>
  <c r="G152" i="1"/>
  <c r="G12" i="1"/>
  <c r="I278" i="1"/>
  <c r="I175" i="1"/>
  <c r="I54" i="1"/>
  <c r="G341" i="1"/>
  <c r="G201" i="1"/>
  <c r="G61" i="1"/>
  <c r="G340" i="1"/>
  <c r="G240" i="1"/>
  <c r="G40" i="1"/>
  <c r="I279" i="1"/>
  <c r="I10" i="1"/>
  <c r="G332" i="1"/>
  <c r="G52" i="1"/>
  <c r="I236" i="1"/>
  <c r="G241" i="1"/>
  <c r="G81" i="1"/>
  <c r="G360" i="1"/>
  <c r="G180" i="1"/>
  <c r="G300" i="1"/>
  <c r="G60" i="1"/>
  <c r="G339" i="1"/>
  <c r="I237" i="1"/>
  <c r="I115" i="1"/>
  <c r="G252" i="1"/>
  <c r="G92" i="1"/>
  <c r="I345" i="1"/>
  <c r="I155" i="1"/>
  <c r="G321" i="1"/>
  <c r="G221" i="1"/>
  <c r="G101" i="1"/>
  <c r="G160" i="1"/>
  <c r="I301" i="1"/>
  <c r="I156" i="1"/>
  <c r="G172" i="1"/>
  <c r="I4" i="1"/>
  <c r="I134" i="1"/>
  <c r="G301" i="1"/>
  <c r="G141" i="1"/>
  <c r="G280" i="1"/>
  <c r="G200" i="1"/>
  <c r="G80" i="1"/>
  <c r="G359" i="1"/>
  <c r="I197" i="1"/>
  <c r="G352" i="1"/>
  <c r="G132" i="1"/>
  <c r="I258" i="1"/>
  <c r="G281" i="1"/>
  <c r="G121" i="1"/>
  <c r="G320" i="1"/>
  <c r="G220" i="1"/>
  <c r="G100" i="1"/>
  <c r="G319" i="1"/>
  <c r="G354" i="1"/>
  <c r="G334" i="1"/>
  <c r="G314" i="1"/>
  <c r="G294" i="1"/>
  <c r="G274" i="1"/>
  <c r="G254" i="1"/>
  <c r="G234" i="1"/>
  <c r="G214" i="1"/>
  <c r="G195" i="1"/>
  <c r="G174" i="1"/>
  <c r="G154" i="1"/>
  <c r="H154" i="1" s="1"/>
  <c r="G134" i="1"/>
  <c r="G114" i="1"/>
  <c r="G94" i="1"/>
  <c r="G74" i="1"/>
  <c r="G54" i="1"/>
  <c r="G34" i="1"/>
  <c r="G14" i="1"/>
  <c r="G351" i="1"/>
  <c r="G231" i="1"/>
  <c r="G51" i="1"/>
  <c r="G350" i="1"/>
  <c r="G330" i="1"/>
  <c r="G310" i="1"/>
  <c r="G290" i="1"/>
  <c r="G270" i="1"/>
  <c r="G250" i="1"/>
  <c r="G230" i="1"/>
  <c r="G210" i="1"/>
  <c r="H210" i="1" s="1"/>
  <c r="G190" i="1"/>
  <c r="G170" i="1"/>
  <c r="G150" i="1"/>
  <c r="G130" i="1"/>
  <c r="G110" i="1"/>
  <c r="G90" i="1"/>
  <c r="G70" i="1"/>
  <c r="G50" i="1"/>
  <c r="G30" i="1"/>
  <c r="G10" i="1"/>
  <c r="G171" i="1"/>
  <c r="G269" i="1"/>
  <c r="G49" i="1"/>
  <c r="G311" i="1"/>
  <c r="G211" i="1"/>
  <c r="G111" i="1"/>
  <c r="G11" i="1"/>
  <c r="H11" i="1" s="1"/>
  <c r="G329" i="1"/>
  <c r="G229" i="1"/>
  <c r="G169" i="1"/>
  <c r="G109" i="1"/>
  <c r="G9" i="1"/>
  <c r="G308" i="1"/>
  <c r="G268" i="1"/>
  <c r="G248" i="1"/>
  <c r="G228" i="1"/>
  <c r="G208" i="1"/>
  <c r="G188" i="1"/>
  <c r="G168" i="1"/>
  <c r="G148" i="1"/>
  <c r="G128" i="1"/>
  <c r="G108" i="1"/>
  <c r="G88" i="1"/>
  <c r="G68" i="1"/>
  <c r="G48" i="1"/>
  <c r="G28" i="1"/>
  <c r="G8" i="1"/>
  <c r="H8" i="1" s="1"/>
  <c r="G271" i="1"/>
  <c r="G131" i="1"/>
  <c r="G309" i="1"/>
  <c r="G249" i="1"/>
  <c r="G189" i="1"/>
  <c r="G129" i="1"/>
  <c r="G89" i="1"/>
  <c r="G29" i="1"/>
  <c r="G4" i="1"/>
  <c r="H4" i="1" s="1"/>
  <c r="G288" i="1"/>
  <c r="G347" i="1"/>
  <c r="G327" i="1"/>
  <c r="G307" i="1"/>
  <c r="G287" i="1"/>
  <c r="G267" i="1"/>
  <c r="G227" i="1"/>
  <c r="G207" i="1"/>
  <c r="G187" i="1"/>
  <c r="G167" i="1"/>
  <c r="G147" i="1"/>
  <c r="G127" i="1"/>
  <c r="G107" i="1"/>
  <c r="G87" i="1"/>
  <c r="G67" i="1"/>
  <c r="G47" i="1"/>
  <c r="G27" i="1"/>
  <c r="G7" i="1"/>
  <c r="H7" i="1" s="1"/>
  <c r="G251" i="1"/>
  <c r="G71" i="1"/>
  <c r="G289" i="1"/>
  <c r="G209" i="1"/>
  <c r="G149" i="1"/>
  <c r="G69" i="1"/>
  <c r="G348" i="1"/>
  <c r="G328" i="1"/>
  <c r="G247" i="1"/>
  <c r="I51" i="1"/>
  <c r="G91" i="1"/>
  <c r="G331" i="1"/>
  <c r="G191" i="1"/>
  <c r="G31" i="1"/>
  <c r="G349" i="1"/>
  <c r="G305" i="1"/>
  <c r="G265" i="1"/>
  <c r="G225" i="1"/>
  <c r="G185" i="1"/>
  <c r="G145" i="1"/>
  <c r="G125" i="1"/>
  <c r="G85" i="1"/>
  <c r="G45" i="1"/>
  <c r="G344" i="1"/>
  <c r="G304" i="1"/>
  <c r="G264" i="1"/>
  <c r="G224" i="1"/>
  <c r="G164" i="1"/>
  <c r="G124" i="1"/>
  <c r="G84" i="1"/>
  <c r="G44" i="1"/>
  <c r="G291" i="1"/>
  <c r="G151" i="1"/>
  <c r="G345" i="1"/>
  <c r="G285" i="1"/>
  <c r="G245" i="1"/>
  <c r="G205" i="1"/>
  <c r="G165" i="1"/>
  <c r="G105" i="1"/>
  <c r="G65" i="1"/>
  <c r="G6" i="1"/>
  <c r="H6" i="1" s="1"/>
  <c r="G324" i="1"/>
  <c r="G284" i="1"/>
  <c r="G244" i="1"/>
  <c r="G204" i="1"/>
  <c r="G184" i="1"/>
  <c r="G144" i="1"/>
  <c r="G104" i="1"/>
  <c r="G64" i="1"/>
  <c r="G24" i="1"/>
  <c r="G120" i="1"/>
  <c r="G299" i="1"/>
  <c r="G279" i="1"/>
  <c r="G259" i="1"/>
  <c r="G239" i="1"/>
  <c r="G219" i="1"/>
  <c r="G199" i="1"/>
  <c r="G179" i="1"/>
  <c r="G159" i="1"/>
  <c r="H159" i="1" s="1"/>
  <c r="G139" i="1"/>
  <c r="G119" i="1"/>
  <c r="G99" i="1"/>
  <c r="G79" i="1"/>
  <c r="G59" i="1"/>
  <c r="G39" i="1"/>
  <c r="G358" i="1"/>
  <c r="G338" i="1"/>
  <c r="G318" i="1"/>
  <c r="G298" i="1"/>
  <c r="G278" i="1"/>
  <c r="G258" i="1"/>
  <c r="G238" i="1"/>
  <c r="G218" i="1"/>
  <c r="G198" i="1"/>
  <c r="G178" i="1"/>
  <c r="G158" i="1"/>
  <c r="G138" i="1"/>
  <c r="G118" i="1"/>
  <c r="G98" i="1"/>
  <c r="G78" i="1"/>
  <c r="G58" i="1"/>
  <c r="G38" i="1"/>
  <c r="G357" i="1"/>
  <c r="G337" i="1"/>
  <c r="G317" i="1"/>
  <c r="G297" i="1"/>
  <c r="H297" i="1" s="1"/>
  <c r="G277" i="1"/>
  <c r="G257" i="1"/>
  <c r="G237" i="1"/>
  <c r="G217" i="1"/>
  <c r="G197" i="1"/>
  <c r="G177" i="1"/>
  <c r="G157" i="1"/>
  <c r="G137" i="1"/>
  <c r="G117" i="1"/>
  <c r="G97" i="1"/>
  <c r="G77" i="1"/>
  <c r="G57" i="1"/>
  <c r="G37" i="1"/>
  <c r="G356" i="1"/>
  <c r="G336" i="1"/>
  <c r="G316" i="1"/>
  <c r="G296" i="1"/>
  <c r="G276" i="1"/>
  <c r="G256" i="1"/>
  <c r="G236" i="1"/>
  <c r="G216" i="1"/>
  <c r="G196" i="1"/>
  <c r="G176" i="1"/>
  <c r="G156" i="1"/>
  <c r="G136" i="1"/>
  <c r="G116" i="1"/>
  <c r="G96" i="1"/>
  <c r="G76" i="1"/>
  <c r="G56" i="1"/>
  <c r="G36" i="1"/>
  <c r="G194" i="1"/>
  <c r="G355" i="1"/>
  <c r="G335" i="1"/>
  <c r="G315" i="1"/>
  <c r="G295" i="1"/>
  <c r="G275" i="1"/>
  <c r="G255" i="1"/>
  <c r="G235" i="1"/>
  <c r="G215" i="1"/>
  <c r="G175" i="1"/>
  <c r="G155" i="1"/>
  <c r="G135" i="1"/>
  <c r="G115" i="1"/>
  <c r="G95" i="1"/>
  <c r="G75" i="1"/>
  <c r="G55" i="1"/>
  <c r="G35" i="1"/>
  <c r="G15" i="1"/>
  <c r="G346" i="1"/>
  <c r="G326" i="1"/>
  <c r="G306" i="1"/>
  <c r="G286" i="1"/>
  <c r="G266" i="1"/>
  <c r="G246" i="1"/>
  <c r="G226" i="1"/>
  <c r="G206" i="1"/>
  <c r="G186" i="1"/>
  <c r="G166" i="1"/>
  <c r="G146" i="1"/>
  <c r="G126" i="1"/>
  <c r="G106" i="1"/>
  <c r="G86" i="1"/>
  <c r="G66" i="1"/>
  <c r="G46" i="1"/>
  <c r="G26" i="1"/>
  <c r="G5" i="1"/>
  <c r="G362" i="1"/>
  <c r="G342" i="1"/>
  <c r="G322" i="1"/>
  <c r="G302" i="1"/>
  <c r="G282" i="1"/>
  <c r="G262" i="1"/>
  <c r="G242" i="1"/>
  <c r="G222" i="1"/>
  <c r="G202" i="1"/>
  <c r="G182" i="1"/>
  <c r="G162" i="1"/>
  <c r="H162" i="1" s="1"/>
  <c r="G142" i="1"/>
  <c r="G122" i="1"/>
  <c r="G102" i="1"/>
  <c r="G82" i="1"/>
  <c r="G62" i="1"/>
  <c r="G42" i="1"/>
  <c r="G22" i="1"/>
  <c r="I360" i="1"/>
  <c r="I331" i="1"/>
  <c r="I109" i="1"/>
  <c r="I273" i="1"/>
  <c r="I18" i="1"/>
  <c r="I149" i="1"/>
  <c r="I28" i="1"/>
  <c r="I107" i="1"/>
  <c r="I231" i="1"/>
  <c r="I191" i="1"/>
  <c r="I129" i="1"/>
  <c r="I69" i="1"/>
  <c r="I15" i="1"/>
  <c r="I16" i="1"/>
  <c r="I295" i="1"/>
  <c r="I89" i="1"/>
  <c r="I367" i="1"/>
  <c r="I211" i="1"/>
  <c r="I252" i="1"/>
  <c r="I189" i="1"/>
  <c r="I49" i="1"/>
  <c r="I48" i="1"/>
  <c r="I287" i="1"/>
  <c r="I247" i="1"/>
  <c r="I366" i="1"/>
  <c r="I286" i="1"/>
  <c r="I188" i="1"/>
  <c r="I365" i="1"/>
  <c r="I285" i="1"/>
  <c r="I225" i="1"/>
  <c r="D322" i="1"/>
  <c r="D142" i="1"/>
  <c r="I204" i="1"/>
  <c r="I184" i="1"/>
  <c r="I164" i="1"/>
  <c r="I154" i="1"/>
  <c r="I84" i="1"/>
  <c r="I64" i="1"/>
  <c r="I368" i="1"/>
  <c r="H10" i="1"/>
  <c r="H9" i="1"/>
  <c r="H91" i="1"/>
  <c r="D351" i="1"/>
  <c r="D331" i="1"/>
  <c r="D311" i="1"/>
  <c r="D291" i="1"/>
  <c r="D271" i="1"/>
  <c r="D251" i="1"/>
  <c r="D231" i="1"/>
  <c r="D211" i="1"/>
  <c r="D191" i="1"/>
  <c r="D171" i="1"/>
  <c r="D151" i="1"/>
  <c r="D131" i="1"/>
  <c r="D111" i="1"/>
  <c r="H111" i="1" s="1"/>
  <c r="D91" i="1"/>
  <c r="D71" i="1"/>
  <c r="D51" i="1"/>
  <c r="D31" i="1"/>
  <c r="D210" i="1"/>
  <c r="D150" i="1"/>
  <c r="D229" i="1"/>
  <c r="D149" i="1"/>
  <c r="D29" i="1"/>
  <c r="D348" i="1"/>
  <c r="D168" i="1"/>
  <c r="D362" i="1"/>
  <c r="D202" i="1"/>
  <c r="D22" i="1"/>
  <c r="D206" i="1"/>
  <c r="D290" i="1"/>
  <c r="D70" i="1"/>
  <c r="D189" i="1"/>
  <c r="H189" i="1" s="1"/>
  <c r="D69" i="1"/>
  <c r="D308" i="1"/>
  <c r="D88" i="1"/>
  <c r="H88" i="1" s="1"/>
  <c r="D242" i="1"/>
  <c r="D107" i="1"/>
  <c r="H107" i="1" s="1"/>
  <c r="D106" i="1"/>
  <c r="D145" i="1"/>
  <c r="D186" i="1"/>
  <c r="D329" i="1"/>
  <c r="D110" i="1"/>
  <c r="D169" i="1"/>
  <c r="H169" i="1" s="1"/>
  <c r="D208" i="1"/>
  <c r="D48" i="1"/>
  <c r="D287" i="1"/>
  <c r="D182" i="1"/>
  <c r="D62" i="1"/>
  <c r="D286" i="1"/>
  <c r="D86" i="1"/>
  <c r="D305" i="1"/>
  <c r="D40" i="1"/>
  <c r="H40" i="1" s="1"/>
  <c r="D204" i="1"/>
  <c r="D84" i="1"/>
  <c r="D323" i="1"/>
  <c r="D263" i="1"/>
  <c r="H263" i="1" s="1"/>
  <c r="D163" i="1"/>
  <c r="D123" i="1"/>
  <c r="H123" i="1" s="1"/>
  <c r="D43" i="1"/>
  <c r="D257" i="1"/>
  <c r="D157" i="1"/>
  <c r="D97" i="1"/>
  <c r="D270" i="1"/>
  <c r="D90" i="1"/>
  <c r="D89" i="1"/>
  <c r="D328" i="1"/>
  <c r="D108" i="1"/>
  <c r="D307" i="1"/>
  <c r="D147" i="1"/>
  <c r="H147" i="1" s="1"/>
  <c r="D366" i="1"/>
  <c r="H366" i="1" s="1"/>
  <c r="D221" i="1"/>
  <c r="D21" i="1"/>
  <c r="D325" i="1"/>
  <c r="D165" i="1"/>
  <c r="D25" i="1"/>
  <c r="D284" i="1"/>
  <c r="D144" i="1"/>
  <c r="D363" i="1"/>
  <c r="D223" i="1"/>
  <c r="D63" i="1"/>
  <c r="D217" i="1"/>
  <c r="D17" i="1"/>
  <c r="D356" i="1"/>
  <c r="D336" i="1"/>
  <c r="D296" i="1"/>
  <c r="D276" i="1"/>
  <c r="D256" i="1"/>
  <c r="D236" i="1"/>
  <c r="D196" i="1"/>
  <c r="D176" i="1"/>
  <c r="D156" i="1"/>
  <c r="D135" i="1"/>
  <c r="H135" i="1" s="1"/>
  <c r="D116" i="1"/>
  <c r="H116" i="1" s="1"/>
  <c r="D96" i="1"/>
  <c r="H96" i="1" s="1"/>
  <c r="D76" i="1"/>
  <c r="H76" i="1" s="1"/>
  <c r="D56" i="1"/>
  <c r="D36" i="1"/>
  <c r="D16" i="1"/>
  <c r="D250" i="1"/>
  <c r="D30" i="1"/>
  <c r="H30" i="1" s="1"/>
  <c r="D269" i="1"/>
  <c r="D129" i="1"/>
  <c r="D248" i="1"/>
  <c r="D68" i="1"/>
  <c r="D227" i="1"/>
  <c r="D266" i="1"/>
  <c r="D41" i="1"/>
  <c r="D365" i="1"/>
  <c r="H365" i="1" s="1"/>
  <c r="D245" i="1"/>
  <c r="D125" i="1"/>
  <c r="D324" i="1"/>
  <c r="D159" i="1"/>
  <c r="D283" i="1"/>
  <c r="D143" i="1"/>
  <c r="D23" i="1"/>
  <c r="H23" i="1" s="1"/>
  <c r="D297" i="1"/>
  <c r="D117" i="1"/>
  <c r="D355" i="1"/>
  <c r="D335" i="1"/>
  <c r="D315" i="1"/>
  <c r="D295" i="1"/>
  <c r="D275" i="1"/>
  <c r="D255" i="1"/>
  <c r="D235" i="1"/>
  <c r="D215" i="1"/>
  <c r="D195" i="1"/>
  <c r="D175" i="1"/>
  <c r="D155" i="1"/>
  <c r="D115" i="1"/>
  <c r="D95" i="1"/>
  <c r="D75" i="1"/>
  <c r="D55" i="1"/>
  <c r="D35" i="1"/>
  <c r="D15" i="1"/>
  <c r="D170" i="1"/>
  <c r="D209" i="1"/>
  <c r="D288" i="1"/>
  <c r="D188" i="1"/>
  <c r="D28" i="1"/>
  <c r="D262" i="1"/>
  <c r="H262" i="1" s="1"/>
  <c r="D82" i="1"/>
  <c r="D321" i="1"/>
  <c r="D246" i="1"/>
  <c r="D146" i="1"/>
  <c r="D61" i="1"/>
  <c r="D280" i="1"/>
  <c r="D205" i="1"/>
  <c r="D105" i="1"/>
  <c r="D339" i="1"/>
  <c r="H339" i="1" s="1"/>
  <c r="D304" i="1"/>
  <c r="D264" i="1"/>
  <c r="D184" i="1"/>
  <c r="D104" i="1"/>
  <c r="D44" i="1"/>
  <c r="D343" i="1"/>
  <c r="D183" i="1"/>
  <c r="D83" i="1"/>
  <c r="H83" i="1" s="1"/>
  <c r="D337" i="1"/>
  <c r="D237" i="1"/>
  <c r="D136" i="1"/>
  <c r="D57" i="1"/>
  <c r="D334" i="1"/>
  <c r="D314" i="1"/>
  <c r="D274" i="1"/>
  <c r="D254" i="1"/>
  <c r="D234" i="1"/>
  <c r="D214" i="1"/>
  <c r="D194" i="1"/>
  <c r="D174" i="1"/>
  <c r="D154" i="1"/>
  <c r="D134" i="1"/>
  <c r="D114" i="1"/>
  <c r="D94" i="1"/>
  <c r="D74" i="1"/>
  <c r="D54" i="1"/>
  <c r="D34" i="1"/>
  <c r="D14" i="1"/>
  <c r="D309" i="1"/>
  <c r="D230" i="1"/>
  <c r="D130" i="1"/>
  <c r="D249" i="1"/>
  <c r="D49" i="1"/>
  <c r="D368" i="1"/>
  <c r="H368" i="1" s="1"/>
  <c r="D228" i="1"/>
  <c r="D128" i="1"/>
  <c r="D342" i="1"/>
  <c r="D122" i="1"/>
  <c r="D346" i="1"/>
  <c r="D166" i="1"/>
  <c r="D345" i="1"/>
  <c r="D225" i="1"/>
  <c r="D65" i="1"/>
  <c r="D239" i="1"/>
  <c r="D119" i="1"/>
  <c r="D24" i="1"/>
  <c r="H24" i="1" s="1"/>
  <c r="D303" i="1"/>
  <c r="H303" i="1" s="1"/>
  <c r="D203" i="1"/>
  <c r="D103" i="1"/>
  <c r="D317" i="1"/>
  <c r="D197" i="1"/>
  <c r="D37" i="1"/>
  <c r="D13" i="1"/>
  <c r="D353" i="1"/>
  <c r="D333" i="1"/>
  <c r="D313" i="1"/>
  <c r="D293" i="1"/>
  <c r="D273" i="1"/>
  <c r="D253" i="1"/>
  <c r="D233" i="1"/>
  <c r="H233" i="1" s="1"/>
  <c r="D213" i="1"/>
  <c r="H213" i="1" s="1"/>
  <c r="D193" i="1"/>
  <c r="H193" i="1" s="1"/>
  <c r="D173" i="1"/>
  <c r="D153" i="1"/>
  <c r="H153" i="1" s="1"/>
  <c r="D132" i="1"/>
  <c r="D113" i="1"/>
  <c r="D93" i="1"/>
  <c r="D73" i="1"/>
  <c r="D53" i="1"/>
  <c r="D33" i="1"/>
  <c r="D349" i="1"/>
  <c r="D190" i="1"/>
  <c r="D50" i="1"/>
  <c r="D289" i="1"/>
  <c r="D109" i="1"/>
  <c r="D268" i="1"/>
  <c r="D148" i="1"/>
  <c r="D327" i="1"/>
  <c r="D162" i="1"/>
  <c r="D47" i="1"/>
  <c r="D301" i="1"/>
  <c r="H301" i="1" s="1"/>
  <c r="D126" i="1"/>
  <c r="D260" i="1"/>
  <c r="H260" i="1" s="1"/>
  <c r="D180" i="1"/>
  <c r="D80" i="1"/>
  <c r="H80" i="1" s="1"/>
  <c r="D364" i="1"/>
  <c r="H364" i="1" s="1"/>
  <c r="D224" i="1"/>
  <c r="D64" i="1"/>
  <c r="D243" i="1"/>
  <c r="D357" i="1"/>
  <c r="D277" i="1"/>
  <c r="D177" i="1"/>
  <c r="D77" i="1"/>
  <c r="D352" i="1"/>
  <c r="D332" i="1"/>
  <c r="D312" i="1"/>
  <c r="D292" i="1"/>
  <c r="D272" i="1"/>
  <c r="D252" i="1"/>
  <c r="H252" i="1" s="1"/>
  <c r="D232" i="1"/>
  <c r="D212" i="1"/>
  <c r="D192" i="1"/>
  <c r="D172" i="1"/>
  <c r="H172" i="1" s="1"/>
  <c r="D112" i="1"/>
  <c r="H112" i="1" s="1"/>
  <c r="D92" i="1"/>
  <c r="D72" i="1"/>
  <c r="D52" i="1"/>
  <c r="D32" i="1"/>
  <c r="D181" i="1"/>
  <c r="D138" i="1"/>
  <c r="H138" i="1" s="1"/>
  <c r="D101" i="1"/>
  <c r="D139" i="1"/>
  <c r="D137" i="1"/>
  <c r="D133" i="1"/>
  <c r="D361" i="1"/>
  <c r="D360" i="1"/>
  <c r="D318" i="1"/>
  <c r="D316" i="1"/>
  <c r="D354" i="1"/>
  <c r="D152" i="1"/>
  <c r="D350" i="1"/>
  <c r="D330" i="1"/>
  <c r="D310" i="1"/>
  <c r="D140" i="1"/>
  <c r="H140" i="1" s="1"/>
  <c r="D158" i="1"/>
  <c r="D216" i="1"/>
  <c r="D294" i="1"/>
  <c r="D282" i="1"/>
  <c r="D42" i="1"/>
  <c r="D341" i="1"/>
  <c r="H341" i="1" s="1"/>
  <c r="D261" i="1"/>
  <c r="D201" i="1"/>
  <c r="D161" i="1"/>
  <c r="D141" i="1"/>
  <c r="D320" i="1"/>
  <c r="D160" i="1"/>
  <c r="D100" i="1"/>
  <c r="D319" i="1"/>
  <c r="H319" i="1" s="1"/>
  <c r="D199" i="1"/>
  <c r="D79" i="1"/>
  <c r="H79" i="1" s="1"/>
  <c r="D198" i="1"/>
  <c r="H198" i="1" s="1"/>
  <c r="D18" i="1"/>
  <c r="D302" i="1"/>
  <c r="D222" i="1"/>
  <c r="H222" i="1" s="1"/>
  <c r="D102" i="1"/>
  <c r="D241" i="1"/>
  <c r="D121" i="1"/>
  <c r="D240" i="1"/>
  <c r="D20" i="1"/>
  <c r="D259" i="1"/>
  <c r="H259" i="1" s="1"/>
  <c r="D19" i="1"/>
  <c r="D298" i="1"/>
  <c r="D78" i="1"/>
  <c r="D367" i="1"/>
  <c r="H367" i="1" s="1"/>
  <c r="D347" i="1"/>
  <c r="D267" i="1"/>
  <c r="D247" i="1"/>
  <c r="D207" i="1"/>
  <c r="H207" i="1" s="1"/>
  <c r="D187" i="1"/>
  <c r="D167" i="1"/>
  <c r="D127" i="1"/>
  <c r="D87" i="1"/>
  <c r="D67" i="1"/>
  <c r="D27" i="1"/>
  <c r="D281" i="1"/>
  <c r="D81" i="1"/>
  <c r="D300" i="1"/>
  <c r="D200" i="1"/>
  <c r="H200" i="1" s="1"/>
  <c r="D60" i="1"/>
  <c r="H60" i="1" s="1"/>
  <c r="D299" i="1"/>
  <c r="D39" i="1"/>
  <c r="D278" i="1"/>
  <c r="D178" i="1"/>
  <c r="H178" i="1" s="1"/>
  <c r="D118" i="1"/>
  <c r="D326" i="1"/>
  <c r="D306" i="1"/>
  <c r="D226" i="1"/>
  <c r="D66" i="1"/>
  <c r="D46" i="1"/>
  <c r="D26" i="1"/>
  <c r="D340" i="1"/>
  <c r="H340" i="1" s="1"/>
  <c r="D220" i="1"/>
  <c r="H220" i="1" s="1"/>
  <c r="D120" i="1"/>
  <c r="D359" i="1"/>
  <c r="D219" i="1"/>
  <c r="D59" i="1"/>
  <c r="D338" i="1"/>
  <c r="D218" i="1"/>
  <c r="D58" i="1"/>
  <c r="D285" i="1"/>
  <c r="H285" i="1" s="1"/>
  <c r="D265" i="1"/>
  <c r="D185" i="1"/>
  <c r="D85" i="1"/>
  <c r="D45" i="1"/>
  <c r="D279" i="1"/>
  <c r="D179" i="1"/>
  <c r="D99" i="1"/>
  <c r="D258" i="1"/>
  <c r="D38" i="1"/>
  <c r="D344" i="1"/>
  <c r="D244" i="1"/>
  <c r="D164" i="1"/>
  <c r="D124" i="1"/>
  <c r="D358" i="1"/>
  <c r="D238" i="1"/>
  <c r="D98" i="1"/>
  <c r="E334" i="1"/>
  <c r="E363" i="1"/>
  <c r="E20" i="1"/>
  <c r="L8" i="1" l="1"/>
  <c r="L9" i="1" s="1"/>
  <c r="H229" i="1"/>
  <c r="H230" i="1"/>
  <c r="H257" i="1"/>
  <c r="H295" i="1"/>
  <c r="H56" i="1"/>
  <c r="H117" i="1"/>
  <c r="H224" i="1"/>
  <c r="H51" i="1"/>
  <c r="H102" i="1"/>
  <c r="H343" i="1"/>
  <c r="H283" i="1"/>
  <c r="H71" i="1"/>
  <c r="H176" i="1"/>
  <c r="H305" i="1"/>
  <c r="H70" i="1"/>
  <c r="H131" i="1"/>
  <c r="H55" i="1"/>
  <c r="H194" i="1"/>
  <c r="H46" i="1"/>
  <c r="H95" i="1"/>
  <c r="H39" i="1"/>
  <c r="H66" i="1"/>
  <c r="H115" i="1"/>
  <c r="H81" i="1"/>
  <c r="H196" i="1"/>
  <c r="H258" i="1"/>
  <c r="H75" i="1"/>
  <c r="H155" i="1"/>
  <c r="H121" i="1"/>
  <c r="H42" i="1"/>
  <c r="H284" i="1"/>
  <c r="H356" i="1"/>
  <c r="H65" i="1"/>
  <c r="H221" i="1"/>
  <c r="H12" i="1"/>
  <c r="H264" i="1"/>
  <c r="H199" i="1"/>
  <c r="H125" i="1"/>
  <c r="H242" i="1"/>
  <c r="H344" i="1"/>
  <c r="H304" i="1"/>
  <c r="H244" i="1"/>
  <c r="H225" i="1"/>
  <c r="H236" i="1"/>
  <c r="H77" i="1"/>
  <c r="H120" i="1"/>
  <c r="H184" i="1"/>
  <c r="H134" i="1"/>
  <c r="H38" i="1"/>
  <c r="H105" i="1"/>
  <c r="H190" i="1"/>
  <c r="H31" i="1"/>
  <c r="H152" i="1"/>
  <c r="H245" i="1"/>
  <c r="H57" i="1"/>
  <c r="H35" i="1"/>
  <c r="H246" i="1"/>
  <c r="I19" i="1"/>
  <c r="H240" i="1"/>
  <c r="H52" i="1"/>
  <c r="H346" i="1"/>
  <c r="H157" i="1"/>
  <c r="H129" i="1"/>
  <c r="H316" i="1"/>
  <c r="H187" i="1"/>
  <c r="H307" i="1"/>
  <c r="H212" i="1"/>
  <c r="H27" i="1"/>
  <c r="H86" i="1"/>
  <c r="H288" i="1"/>
  <c r="H94" i="1"/>
  <c r="H354" i="1"/>
  <c r="H345" i="1"/>
  <c r="H127" i="1"/>
  <c r="H183" i="1"/>
  <c r="H243" i="1"/>
  <c r="H315" i="1"/>
  <c r="H308" i="1"/>
  <c r="H232" i="1"/>
  <c r="H167" i="1"/>
  <c r="H22" i="1"/>
  <c r="H235" i="1"/>
  <c r="H114" i="1"/>
  <c r="H67" i="1"/>
  <c r="H347" i="1"/>
  <c r="H36" i="1"/>
  <c r="H49" i="1"/>
  <c r="H215" i="1"/>
  <c r="H100" i="1"/>
  <c r="H352" i="1"/>
  <c r="H226" i="1"/>
  <c r="H175" i="1"/>
  <c r="H128" i="1"/>
  <c r="H97" i="1"/>
  <c r="H271" i="1"/>
  <c r="H201" i="1"/>
  <c r="H267" i="1"/>
  <c r="H277" i="1"/>
  <c r="H349" i="1"/>
  <c r="H216" i="1"/>
  <c r="H137" i="1"/>
  <c r="H163" i="1"/>
  <c r="H101" i="1"/>
  <c r="H274" i="1"/>
  <c r="H298" i="1"/>
  <c r="H299" i="1"/>
  <c r="H311" i="1"/>
  <c r="H141" i="1"/>
  <c r="H72" i="1"/>
  <c r="H106" i="1"/>
  <c r="H287" i="1"/>
  <c r="H34" i="1"/>
  <c r="H158" i="1"/>
  <c r="H254" i="1"/>
  <c r="H255" i="1"/>
  <c r="H326" i="1"/>
  <c r="I332" i="1"/>
  <c r="H113" i="1"/>
  <c r="H48" i="1"/>
  <c r="H188" i="1"/>
  <c r="H280" i="1"/>
  <c r="H266" i="1"/>
  <c r="H151" i="1"/>
  <c r="H92" i="1"/>
  <c r="H268" i="1"/>
  <c r="H136" i="1"/>
  <c r="H28" i="1"/>
  <c r="H296" i="1"/>
  <c r="I362" i="1"/>
  <c r="I363" i="1"/>
  <c r="H337" i="1"/>
  <c r="H108" i="1"/>
  <c r="H348" i="1"/>
  <c r="I333" i="1"/>
  <c r="H275" i="1"/>
  <c r="H270" i="1"/>
  <c r="H205" i="1"/>
  <c r="H132" i="1"/>
  <c r="H103" i="1"/>
  <c r="H306" i="1"/>
  <c r="H177" i="1"/>
  <c r="H265" i="1"/>
  <c r="H149" i="1"/>
  <c r="H355" i="1"/>
  <c r="H223" i="1"/>
  <c r="H338" i="1"/>
  <c r="H300" i="1"/>
  <c r="H29" i="1"/>
  <c r="H50" i="1"/>
  <c r="H206" i="1"/>
  <c r="H173" i="1"/>
  <c r="H350" i="1"/>
  <c r="H238" i="1"/>
  <c r="H124" i="1"/>
  <c r="H203" i="1"/>
  <c r="H292" i="1"/>
  <c r="H89" i="1"/>
  <c r="H321" i="1"/>
  <c r="H99" i="1"/>
  <c r="H41" i="1"/>
  <c r="H320" i="1"/>
  <c r="H170" i="1"/>
  <c r="I361" i="1"/>
  <c r="H32" i="1"/>
  <c r="H146" i="1"/>
  <c r="H289" i="1"/>
  <c r="H156" i="1"/>
  <c r="H261" i="1"/>
  <c r="H85" i="1"/>
  <c r="H204" i="1"/>
  <c r="H314" i="1"/>
  <c r="H218" i="1"/>
  <c r="H13" i="1"/>
  <c r="H191" i="1"/>
  <c r="H90" i="1"/>
  <c r="H219" i="1"/>
  <c r="H214" i="1"/>
  <c r="H53" i="1"/>
  <c r="H291" i="1"/>
  <c r="H43" i="1"/>
  <c r="H281" i="1"/>
  <c r="H269" i="1"/>
  <c r="H294" i="1"/>
  <c r="H148" i="1"/>
  <c r="H185" i="1"/>
  <c r="H182" i="1"/>
  <c r="H145" i="1"/>
  <c r="H37" i="1"/>
  <c r="H139" i="1"/>
  <c r="H47" i="1"/>
  <c r="H279" i="1"/>
  <c r="H211" i="1"/>
  <c r="H110" i="1"/>
  <c r="H25" i="1"/>
  <c r="H325" i="1"/>
  <c r="H234" i="1"/>
  <c r="H73" i="1"/>
  <c r="H68" i="1"/>
  <c r="H286" i="1"/>
  <c r="H197" i="1"/>
  <c r="H323" i="1"/>
  <c r="H26" i="1"/>
  <c r="H202" i="1"/>
  <c r="H64" i="1"/>
  <c r="H272" i="1"/>
  <c r="H248" i="1"/>
  <c r="I251" i="1"/>
  <c r="H59" i="1"/>
  <c r="H309" i="1"/>
  <c r="H336" i="1"/>
  <c r="H231" i="1"/>
  <c r="H228" i="1"/>
  <c r="H143" i="1"/>
  <c r="H342" i="1"/>
  <c r="H93" i="1"/>
  <c r="H293" i="1"/>
  <c r="H44" i="1"/>
  <c r="H217" i="1"/>
  <c r="H209" i="1"/>
  <c r="H63" i="1"/>
  <c r="H82" i="1"/>
  <c r="H278" i="1"/>
  <c r="H181" i="1"/>
  <c r="H58" i="1"/>
  <c r="H144" i="1"/>
  <c r="H179" i="1"/>
  <c r="H186" i="1"/>
  <c r="H253" i="1"/>
  <c r="H150" i="1"/>
  <c r="H87" i="1"/>
  <c r="H165" i="1"/>
  <c r="H239" i="1"/>
  <c r="H133" i="1"/>
  <c r="H33" i="1"/>
  <c r="H227" i="1"/>
  <c r="H237" i="1"/>
  <c r="H324" i="1"/>
  <c r="H313" i="1"/>
  <c r="H164" i="1"/>
  <c r="H109" i="1"/>
  <c r="H353" i="1"/>
  <c r="H130" i="1"/>
  <c r="H98" i="1"/>
  <c r="H180" i="1"/>
  <c r="H317" i="1"/>
  <c r="H61" i="1"/>
  <c r="H273" i="1"/>
  <c r="H171" i="1"/>
  <c r="H168" i="1"/>
  <c r="H84" i="1"/>
  <c r="H241" i="1"/>
  <c r="H174" i="1"/>
  <c r="H54" i="1"/>
  <c r="H126" i="1"/>
  <c r="H302" i="1"/>
  <c r="H351" i="1"/>
  <c r="H122" i="1"/>
  <c r="H161" i="1"/>
  <c r="H256" i="1"/>
  <c r="H119" i="1"/>
  <c r="H160" i="1"/>
  <c r="H78" i="1"/>
  <c r="H118" i="1"/>
  <c r="H276" i="1"/>
  <c r="H318" i="1"/>
  <c r="H45" i="1"/>
  <c r="H282" i="1"/>
  <c r="H192" i="1"/>
  <c r="H312" i="1"/>
  <c r="H290" i="1"/>
  <c r="H142" i="1"/>
  <c r="H195" i="1"/>
  <c r="H74" i="1"/>
  <c r="H208" i="1"/>
  <c r="H322" i="1"/>
  <c r="H310" i="1"/>
  <c r="H166" i="1"/>
  <c r="H62" i="1"/>
  <c r="H104" i="1"/>
  <c r="H69" i="1"/>
  <c r="H327" i="1"/>
  <c r="H251" i="1"/>
  <c r="H250" i="1"/>
  <c r="H249" i="1"/>
  <c r="H358" i="1"/>
  <c r="H361" i="1"/>
  <c r="E21" i="1"/>
  <c r="H247" i="1"/>
  <c r="E335" i="1"/>
  <c r="K9" i="1" l="1"/>
  <c r="K10" i="1" s="1"/>
  <c r="L10" i="1"/>
  <c r="L11" i="1" s="1"/>
  <c r="M9" i="1"/>
  <c r="M10" i="1" s="1"/>
  <c r="M11" i="1" s="1"/>
  <c r="M12" i="1" s="1"/>
  <c r="H328" i="1"/>
  <c r="H359" i="1"/>
  <c r="H360" i="1"/>
  <c r="H362" i="1"/>
  <c r="H363" i="1"/>
  <c r="H357" i="1"/>
  <c r="I334" i="1"/>
  <c r="I335" i="1"/>
  <c r="I20" i="1"/>
  <c r="I21" i="1"/>
  <c r="H331" i="1"/>
  <c r="H332" i="1"/>
  <c r="H329" i="1"/>
  <c r="H333" i="1"/>
  <c r="H334" i="1"/>
  <c r="H20" i="1"/>
  <c r="H19" i="1"/>
  <c r="H17" i="1"/>
  <c r="H14" i="1"/>
  <c r="H16" i="1"/>
  <c r="K11" i="1" l="1"/>
  <c r="K12" i="1" s="1"/>
  <c r="H335" i="1"/>
  <c r="H21" i="1"/>
  <c r="H330" i="1"/>
  <c r="H18" i="1"/>
  <c r="H15" i="1"/>
  <c r="L12" i="1" l="1"/>
  <c r="L13" i="1" l="1"/>
  <c r="M13" i="1"/>
  <c r="M14" i="1" s="1"/>
  <c r="K13" i="1"/>
  <c r="K14" i="1" s="1"/>
  <c r="N15" i="1" l="1"/>
  <c r="L14" i="1"/>
  <c r="L15" i="1" s="1"/>
  <c r="M15" i="1" l="1"/>
  <c r="M16" i="1" s="1"/>
  <c r="K15" i="1"/>
  <c r="K16" i="1" s="1"/>
  <c r="N16" i="1" l="1"/>
  <c r="N17" i="1" s="1"/>
  <c r="L16" i="1"/>
  <c r="L17" i="1" s="1"/>
  <c r="M17" i="1" l="1"/>
  <c r="M18" i="1" s="1"/>
  <c r="K17" i="1"/>
  <c r="K18" i="1" s="1"/>
  <c r="N18" i="1" l="1"/>
  <c r="N19" i="1" s="1"/>
  <c r="L18" i="1"/>
  <c r="L19" i="1" s="1"/>
  <c r="M19" i="1" l="1"/>
  <c r="M20" i="1" s="1"/>
  <c r="K19" i="1"/>
  <c r="K20" i="1" s="1"/>
  <c r="N20" i="1"/>
  <c r="N21" i="1" s="1"/>
  <c r="L20" i="1" l="1"/>
  <c r="L21" i="1" s="1"/>
  <c r="K21" i="1" l="1"/>
  <c r="M21" i="1"/>
  <c r="M22" i="1" s="1"/>
  <c r="K22" i="1" l="1"/>
  <c r="N22" i="1"/>
  <c r="N23" i="1" s="1"/>
  <c r="L22" i="1"/>
  <c r="L23" i="1" s="1"/>
  <c r="K23" i="1" l="1"/>
  <c r="K24" i="1" s="1"/>
  <c r="M23" i="1"/>
  <c r="M24" i="1" s="1"/>
  <c r="L24" i="1" l="1"/>
  <c r="L25" i="1" s="1"/>
  <c r="N24" i="1"/>
  <c r="N25" i="1" s="1"/>
  <c r="K25" i="1" l="1"/>
  <c r="K26" i="1" s="1"/>
  <c r="M25" i="1"/>
  <c r="M26" i="1" s="1"/>
  <c r="L26" i="1" l="1"/>
  <c r="L27" i="1" s="1"/>
  <c r="N26" i="1"/>
  <c r="N27" i="1" s="1"/>
  <c r="K27" i="1" l="1"/>
  <c r="K28" i="1" s="1"/>
  <c r="M27" i="1"/>
  <c r="M28" i="1" s="1"/>
  <c r="L28" i="1" l="1"/>
  <c r="L29" i="1" s="1"/>
  <c r="N28" i="1"/>
  <c r="N29" i="1" s="1"/>
  <c r="M29" i="1" l="1"/>
  <c r="M30" i="1" s="1"/>
  <c r="K29" i="1"/>
  <c r="K30" i="1" s="1"/>
  <c r="N30" i="1" l="1"/>
  <c r="N31" i="1" s="1"/>
  <c r="L30" i="1"/>
  <c r="L31" i="1" s="1"/>
  <c r="M31" i="1" l="1"/>
  <c r="M32" i="1" s="1"/>
  <c r="K31" i="1"/>
  <c r="K32" i="1" s="1"/>
  <c r="N32" i="1" l="1"/>
  <c r="N33" i="1" s="1"/>
  <c r="L32" i="1"/>
  <c r="L33" i="1" l="1"/>
  <c r="M33" i="1"/>
  <c r="M34" i="1" s="1"/>
  <c r="K33" i="1"/>
  <c r="K34" i="1" s="1"/>
  <c r="N34" i="1" l="1"/>
  <c r="N35" i="1" s="1"/>
  <c r="L34" i="1"/>
  <c r="L35" i="1" s="1"/>
  <c r="M35" i="1" l="1"/>
  <c r="M36" i="1" s="1"/>
  <c r="K35" i="1"/>
  <c r="K36" i="1" s="1"/>
  <c r="N36" i="1" l="1"/>
  <c r="N37" i="1" s="1"/>
  <c r="L36" i="1"/>
  <c r="L37" i="1" s="1"/>
  <c r="M37" i="1" l="1"/>
  <c r="M38" i="1" s="1"/>
  <c r="K37" i="1"/>
  <c r="K38" i="1" s="1"/>
  <c r="N38" i="1" l="1"/>
  <c r="N39" i="1" s="1"/>
  <c r="L38" i="1"/>
  <c r="L39" i="1" s="1"/>
  <c r="M39" i="1" l="1"/>
  <c r="M40" i="1" s="1"/>
  <c r="K39" i="1"/>
  <c r="K40" i="1" s="1"/>
  <c r="N40" i="1" l="1"/>
  <c r="N41" i="1" s="1"/>
  <c r="L40" i="1"/>
  <c r="L41" i="1" s="1"/>
  <c r="M41" i="1" l="1"/>
  <c r="M42" i="1" s="1"/>
  <c r="K41" i="1"/>
  <c r="K42" i="1" s="1"/>
  <c r="N42" i="1" l="1"/>
  <c r="N43" i="1" s="1"/>
  <c r="L42" i="1"/>
  <c r="L43" i="1" s="1"/>
  <c r="M43" i="1" l="1"/>
  <c r="M44" i="1" s="1"/>
  <c r="K43" i="1"/>
  <c r="K44" i="1" s="1"/>
  <c r="N44" i="1" l="1"/>
  <c r="N45" i="1" s="1"/>
  <c r="L44" i="1"/>
  <c r="L45" i="1" s="1"/>
  <c r="M45" i="1" l="1"/>
  <c r="M46" i="1" s="1"/>
  <c r="K45" i="1"/>
  <c r="K46" i="1" s="1"/>
  <c r="L46" i="1" l="1"/>
  <c r="L47" i="1" s="1"/>
  <c r="K47" i="1"/>
  <c r="K48" i="1" s="1"/>
  <c r="N46" i="1"/>
  <c r="N47" i="1" s="1"/>
  <c r="M47" i="1"/>
  <c r="M48" i="1" s="1"/>
  <c r="L48" i="1" l="1"/>
  <c r="L49" i="1" s="1"/>
  <c r="M49" i="1"/>
  <c r="M50" i="1" s="1"/>
  <c r="N48" i="1"/>
  <c r="N49" i="1" s="1"/>
  <c r="K49" i="1" l="1"/>
  <c r="K50" i="1" s="1"/>
  <c r="L50" i="1" l="1"/>
  <c r="N50" i="1"/>
  <c r="N51" i="1" s="1"/>
  <c r="L51" i="1" l="1"/>
  <c r="M51" i="1"/>
  <c r="K51" i="1"/>
  <c r="K52" i="1" s="1"/>
  <c r="N52" i="1" l="1"/>
  <c r="N53" i="1" s="1"/>
  <c r="M52" i="1"/>
  <c r="L52" i="1"/>
  <c r="L53" i="1" s="1"/>
  <c r="M53" i="1" l="1"/>
  <c r="M54" i="1" s="1"/>
  <c r="K53" i="1"/>
  <c r="K54" i="1" s="1"/>
  <c r="L54" i="1"/>
  <c r="L55" i="1" s="1"/>
  <c r="N54" i="1" l="1"/>
  <c r="N55" i="1" s="1"/>
  <c r="K55" i="1"/>
  <c r="L56" i="1"/>
  <c r="M55" i="1"/>
  <c r="M56" i="1" s="1"/>
  <c r="M57" i="1" s="1"/>
  <c r="K56" i="1" l="1"/>
  <c r="K57" i="1" s="1"/>
  <c r="N56" i="1"/>
  <c r="N57" i="1" l="1"/>
  <c r="N58" i="1" s="1"/>
  <c r="L57" i="1"/>
  <c r="K58" i="1"/>
  <c r="L58" i="1" l="1"/>
  <c r="L59" i="1" s="1"/>
  <c r="M58" i="1"/>
  <c r="N59" i="1"/>
  <c r="M59" i="1" l="1"/>
  <c r="M60" i="1" s="1"/>
  <c r="K59" i="1"/>
  <c r="K60" i="1" s="1"/>
  <c r="N60" i="1" l="1"/>
  <c r="N61" i="1" s="1"/>
  <c r="L60" i="1"/>
  <c r="L61" i="1" s="1"/>
  <c r="K61" i="1" l="1"/>
  <c r="K62" i="1" s="1"/>
  <c r="L62" i="1"/>
  <c r="L63" i="1" s="1"/>
  <c r="N62" i="1"/>
  <c r="N63" i="1" s="1"/>
  <c r="M61" i="1"/>
  <c r="M62" i="1" s="1"/>
  <c r="M63" i="1" s="1"/>
  <c r="M64" i="1" s="1"/>
  <c r="K63" i="1" l="1"/>
  <c r="K64" i="1" s="1"/>
  <c r="N64" i="1"/>
  <c r="N65" i="1" s="1"/>
  <c r="L64" i="1"/>
  <c r="L65" i="1" s="1"/>
  <c r="M65" i="1" l="1"/>
  <c r="M66" i="1" s="1"/>
  <c r="K65" i="1"/>
  <c r="K66" i="1" s="1"/>
  <c r="L66" i="1" l="1"/>
  <c r="L67" i="1" s="1"/>
  <c r="M67" i="1"/>
  <c r="M68" i="1" s="1"/>
  <c r="N66" i="1"/>
  <c r="N67" i="1" s="1"/>
  <c r="K67" i="1" l="1"/>
  <c r="K68" i="1" s="1"/>
  <c r="L68" i="1" l="1"/>
  <c r="N68" i="1"/>
  <c r="N69" i="1" s="1"/>
  <c r="L69" i="1" l="1"/>
  <c r="M69" i="1"/>
  <c r="M70" i="1" s="1"/>
  <c r="K69" i="1"/>
  <c r="K70" i="1" s="1"/>
  <c r="L70" i="1" l="1"/>
  <c r="L71" i="1" s="1"/>
  <c r="N70" i="1"/>
  <c r="N71" i="1" s="1"/>
  <c r="M71" i="1" l="1"/>
  <c r="M72" i="1" s="1"/>
  <c r="K71" i="1"/>
  <c r="K72" i="1" s="1"/>
  <c r="N72" i="1" l="1"/>
  <c r="N73" i="1" s="1"/>
  <c r="L72" i="1"/>
  <c r="L73" i="1" s="1"/>
  <c r="M73" i="1" l="1"/>
  <c r="M74" i="1" s="1"/>
  <c r="K73" i="1"/>
  <c r="K74" i="1" s="1"/>
  <c r="N74" i="1" l="1"/>
  <c r="N75" i="1" s="1"/>
  <c r="L74" i="1"/>
  <c r="L75" i="1" s="1"/>
  <c r="M75" i="1" l="1"/>
  <c r="M76" i="1" s="1"/>
  <c r="K75" i="1"/>
  <c r="K76" i="1" s="1"/>
  <c r="N76" i="1" l="1"/>
  <c r="N77" i="1" s="1"/>
  <c r="L76" i="1"/>
  <c r="L77" i="1" s="1"/>
  <c r="M77" i="1" l="1"/>
  <c r="M78" i="1" s="1"/>
  <c r="K77" i="1"/>
  <c r="K78" i="1" s="1"/>
  <c r="N78" i="1" l="1"/>
  <c r="N79" i="1" s="1"/>
  <c r="L78" i="1"/>
  <c r="L79" i="1" s="1"/>
  <c r="M79" i="1"/>
  <c r="M80" i="1" s="1"/>
  <c r="K79" i="1" l="1"/>
  <c r="K80" i="1" s="1"/>
  <c r="N80" i="1" l="1"/>
  <c r="N81" i="1" s="1"/>
  <c r="L80" i="1"/>
  <c r="L81" i="1" l="1"/>
  <c r="M81" i="1"/>
  <c r="K81" i="1"/>
  <c r="L82" i="1" l="1"/>
  <c r="K82" i="1"/>
  <c r="K83" i="1" s="1"/>
  <c r="N82" i="1"/>
  <c r="N83" i="1" s="1"/>
  <c r="N84" i="1" s="1"/>
  <c r="M82" i="1"/>
  <c r="M83" i="1" s="1"/>
  <c r="L83" i="1"/>
  <c r="L84" i="1" s="1"/>
  <c r="M84" i="1" l="1"/>
  <c r="M85" i="1"/>
  <c r="K84" i="1"/>
  <c r="K85" i="1" s="1"/>
  <c r="N85" i="1" l="1"/>
  <c r="N86" i="1" s="1"/>
  <c r="L85" i="1"/>
  <c r="L86" i="1" s="1"/>
  <c r="K86" i="1" l="1"/>
  <c r="K87" i="1" s="1"/>
  <c r="M86" i="1"/>
  <c r="M87" i="1" s="1"/>
  <c r="L87" i="1"/>
  <c r="L88" i="1" s="1"/>
  <c r="N87" i="1"/>
  <c r="N88" i="1" s="1"/>
  <c r="M88" i="1" l="1"/>
  <c r="M89" i="1" s="1"/>
  <c r="K88" i="1"/>
  <c r="K89" i="1" s="1"/>
  <c r="N89" i="1" l="1"/>
  <c r="N90" i="1" s="1"/>
  <c r="L89" i="1"/>
  <c r="L90" i="1" s="1"/>
  <c r="M90" i="1" l="1"/>
  <c r="M91" i="1" s="1"/>
  <c r="K90" i="1"/>
  <c r="K91" i="1" s="1"/>
  <c r="N91" i="1" l="1"/>
  <c r="N92" i="1" s="1"/>
  <c r="L91" i="1"/>
  <c r="L92" i="1" s="1"/>
  <c r="M92" i="1" l="1"/>
  <c r="M93" i="1" s="1"/>
  <c r="K92" i="1"/>
  <c r="K93" i="1" s="1"/>
  <c r="N93" i="1" l="1"/>
  <c r="N94" i="1" s="1"/>
  <c r="L93" i="1"/>
  <c r="L94" i="1" s="1"/>
  <c r="M94" i="1" l="1"/>
  <c r="M95" i="1" s="1"/>
  <c r="K94" i="1"/>
  <c r="K95" i="1" s="1"/>
  <c r="N95" i="1" l="1"/>
  <c r="N96" i="1" s="1"/>
  <c r="L95" i="1"/>
  <c r="L96" i="1" s="1"/>
  <c r="M96" i="1" l="1"/>
  <c r="M97" i="1" s="1"/>
  <c r="K96" i="1"/>
  <c r="K97" i="1" s="1"/>
  <c r="N97" i="1" l="1"/>
  <c r="N98" i="1" s="1"/>
  <c r="L97" i="1"/>
  <c r="L98" i="1" s="1"/>
  <c r="M98" i="1" l="1"/>
  <c r="M99" i="1" s="1"/>
  <c r="K98" i="1"/>
  <c r="K99" i="1" s="1"/>
  <c r="N99" i="1" l="1"/>
  <c r="N100" i="1" s="1"/>
  <c r="L99" i="1"/>
  <c r="L100" i="1" s="1"/>
  <c r="K100" i="1" l="1"/>
  <c r="K101" i="1" s="1"/>
  <c r="M100" i="1"/>
  <c r="M101" i="1" s="1"/>
  <c r="N101" i="1" l="1"/>
  <c r="N102" i="1" s="1"/>
  <c r="L101" i="1"/>
  <c r="L102" i="1" s="1"/>
  <c r="K102" i="1" l="1"/>
  <c r="K103" i="1" s="1"/>
  <c r="M102" i="1"/>
  <c r="M103" i="1" s="1"/>
  <c r="N103" i="1" l="1"/>
  <c r="N104" i="1" s="1"/>
  <c r="L103" i="1"/>
  <c r="L104" i="1" s="1"/>
  <c r="K104" i="1" l="1"/>
  <c r="K105" i="1" s="1"/>
  <c r="M104" i="1"/>
  <c r="M105" i="1" s="1"/>
  <c r="N105" i="1" l="1"/>
  <c r="N106" i="1" s="1"/>
  <c r="L105" i="1"/>
  <c r="L106" i="1" s="1"/>
  <c r="K106" i="1" l="1"/>
  <c r="K107" i="1" s="1"/>
  <c r="M106" i="1"/>
  <c r="M107" i="1" s="1"/>
  <c r="N107" i="1" l="1"/>
  <c r="N108" i="1" s="1"/>
  <c r="L107" i="1"/>
  <c r="L108" i="1" s="1"/>
  <c r="K108" i="1" l="1"/>
  <c r="K109" i="1" s="1"/>
  <c r="M108" i="1"/>
  <c r="M109" i="1" s="1"/>
  <c r="N109" i="1" l="1"/>
  <c r="N110" i="1" s="1"/>
  <c r="L109" i="1"/>
  <c r="L110" i="1" s="1"/>
  <c r="K110" i="1" l="1"/>
  <c r="K111" i="1" s="1"/>
  <c r="M110" i="1"/>
  <c r="M111" i="1" s="1"/>
  <c r="N111" i="1" l="1"/>
  <c r="N112" i="1" s="1"/>
  <c r="L111" i="1"/>
  <c r="L112" i="1" s="1"/>
  <c r="K112" i="1" l="1"/>
  <c r="K113" i="1" s="1"/>
  <c r="M112" i="1"/>
  <c r="M113" i="1" s="1"/>
  <c r="L113" i="1" l="1"/>
  <c r="L114" i="1" s="1"/>
  <c r="N113" i="1"/>
  <c r="N114" i="1" s="1"/>
  <c r="K114" i="1" l="1"/>
  <c r="K115" i="1" s="1"/>
  <c r="M114" i="1"/>
  <c r="M115" i="1" s="1"/>
  <c r="L115" i="1" l="1"/>
  <c r="L116" i="1" s="1"/>
  <c r="N115" i="1"/>
  <c r="N116" i="1" s="1"/>
  <c r="K116" i="1" l="1"/>
  <c r="K117" i="1" s="1"/>
  <c r="M116" i="1"/>
  <c r="M117" i="1" s="1"/>
  <c r="L117" i="1" l="1"/>
  <c r="L118" i="1" s="1"/>
  <c r="N117" i="1"/>
  <c r="N118" i="1" s="1"/>
  <c r="K118" i="1" l="1"/>
  <c r="K119" i="1" s="1"/>
  <c r="M118" i="1"/>
  <c r="M119" i="1" s="1"/>
  <c r="L119" i="1" l="1"/>
  <c r="L120" i="1" s="1"/>
  <c r="N119" i="1"/>
  <c r="N120" i="1" s="1"/>
  <c r="K120" i="1" l="1"/>
  <c r="K121" i="1" s="1"/>
  <c r="M120" i="1"/>
  <c r="M121" i="1" s="1"/>
  <c r="L121" i="1" l="1"/>
  <c r="L122" i="1" s="1"/>
  <c r="N121" i="1"/>
  <c r="N122" i="1" s="1"/>
  <c r="K122" i="1" l="1"/>
  <c r="K123" i="1" s="1"/>
  <c r="L123" i="1"/>
  <c r="L124" i="1" s="1"/>
  <c r="M122" i="1"/>
  <c r="M123" i="1" s="1"/>
  <c r="M124" i="1" s="1"/>
  <c r="M125" i="1" s="1"/>
  <c r="K124" i="1" l="1"/>
  <c r="K125" i="1" s="1"/>
  <c r="N123" i="1"/>
  <c r="N124" i="1" s="1"/>
  <c r="N125" i="1" s="1"/>
  <c r="N126" i="1" s="1"/>
  <c r="L125" i="1" l="1"/>
  <c r="L126" i="1" l="1"/>
  <c r="M126" i="1"/>
  <c r="M127" i="1" s="1"/>
  <c r="K126" i="1"/>
  <c r="K127" i="1" l="1"/>
  <c r="N127" i="1"/>
  <c r="N128" i="1" s="1"/>
  <c r="L127" i="1"/>
  <c r="L128" i="1" s="1"/>
  <c r="K128" i="1" l="1"/>
  <c r="K129" i="1" s="1"/>
  <c r="M128" i="1"/>
  <c r="M129" i="1" s="1"/>
  <c r="N129" i="1" l="1"/>
  <c r="N130" i="1" s="1"/>
  <c r="L129" i="1"/>
  <c r="L130" i="1" s="1"/>
  <c r="K130" i="1" l="1"/>
  <c r="K131" i="1" s="1"/>
  <c r="M130" i="1"/>
  <c r="M131" i="1" s="1"/>
  <c r="L131" i="1" l="1"/>
  <c r="L132" i="1" s="1"/>
  <c r="N131" i="1"/>
  <c r="N132" i="1" s="1"/>
  <c r="K132" i="1" l="1"/>
  <c r="K133" i="1" s="1"/>
  <c r="M132" i="1"/>
  <c r="M133" i="1" s="1"/>
  <c r="L133" i="1" l="1"/>
  <c r="L134" i="1" s="1"/>
  <c r="N133" i="1"/>
  <c r="N134" i="1" s="1"/>
  <c r="K134" i="1" l="1"/>
  <c r="K135" i="1" s="1"/>
  <c r="M134" i="1"/>
  <c r="M135" i="1" s="1"/>
  <c r="L135" i="1" l="1"/>
  <c r="L136" i="1" s="1"/>
  <c r="N135" i="1"/>
  <c r="N136" i="1" s="1"/>
  <c r="K136" i="1" l="1"/>
  <c r="K137" i="1" s="1"/>
  <c r="M136" i="1"/>
  <c r="M137" i="1" s="1"/>
  <c r="L137" i="1" l="1"/>
  <c r="L138" i="1" s="1"/>
  <c r="N137" i="1"/>
  <c r="N138" i="1" s="1"/>
  <c r="K138" i="1" l="1"/>
  <c r="K139" i="1" s="1"/>
  <c r="M138" i="1"/>
  <c r="M139" i="1" s="1"/>
  <c r="L139" i="1" l="1"/>
  <c r="L140" i="1" s="1"/>
  <c r="K140" i="1"/>
  <c r="K141" i="1" s="1"/>
  <c r="N139" i="1"/>
  <c r="N140" i="1" s="1"/>
  <c r="N141" i="1" s="1"/>
  <c r="N142" i="1" s="1"/>
  <c r="M140" i="1" l="1"/>
  <c r="M141" i="1" s="1"/>
  <c r="L141" i="1"/>
  <c r="L142" i="1" l="1"/>
  <c r="M142" i="1"/>
  <c r="M143" i="1" s="1"/>
  <c r="K142" i="1"/>
  <c r="K143" i="1" l="1"/>
  <c r="N143" i="1"/>
  <c r="N144" i="1" s="1"/>
  <c r="L143" i="1"/>
  <c r="L144" i="1" s="1"/>
  <c r="M144" i="1" l="1"/>
  <c r="M145" i="1" s="1"/>
  <c r="K144" i="1"/>
  <c r="K145" i="1" s="1"/>
  <c r="N145" i="1" l="1"/>
  <c r="N146" i="1" s="1"/>
  <c r="L145" i="1"/>
  <c r="L146" i="1" s="1"/>
  <c r="M146" i="1" l="1"/>
  <c r="M147" i="1" s="1"/>
  <c r="K146" i="1"/>
  <c r="K147" i="1" s="1"/>
  <c r="L147" i="1" l="1"/>
  <c r="L148" i="1" s="1"/>
  <c r="N147" i="1"/>
  <c r="N148" i="1" s="1"/>
  <c r="M148" i="1" l="1"/>
  <c r="M149" i="1" s="1"/>
  <c r="K148" i="1"/>
  <c r="K149" i="1" s="1"/>
  <c r="L149" i="1" l="1"/>
  <c r="N149" i="1"/>
  <c r="N150" i="1" s="1"/>
  <c r="L150" i="1" l="1"/>
  <c r="M150" i="1"/>
  <c r="M151" i="1" s="1"/>
  <c r="K150" i="1"/>
  <c r="K151" i="1" s="1"/>
  <c r="L151" i="1" l="1"/>
  <c r="L152" i="1" s="1"/>
  <c r="N151" i="1"/>
  <c r="N152" i="1" s="1"/>
  <c r="M152" i="1" l="1"/>
  <c r="M153" i="1" s="1"/>
  <c r="K152" i="1"/>
  <c r="K153" i="1" s="1"/>
  <c r="L153" i="1" l="1"/>
  <c r="L154" i="1" s="1"/>
  <c r="N153" i="1"/>
  <c r="N154" i="1" s="1"/>
  <c r="M154" i="1" l="1"/>
  <c r="M155" i="1" s="1"/>
  <c r="K154" i="1"/>
  <c r="K155" i="1" s="1"/>
  <c r="L155" i="1" l="1"/>
  <c r="L156" i="1" s="1"/>
  <c r="N155" i="1"/>
  <c r="N156" i="1" s="1"/>
  <c r="M156" i="1" l="1"/>
  <c r="M157" i="1" s="1"/>
  <c r="K156" i="1"/>
  <c r="K157" i="1" s="1"/>
  <c r="L157" i="1" l="1"/>
  <c r="L158" i="1" s="1"/>
  <c r="N157" i="1"/>
  <c r="N158" i="1" s="1"/>
  <c r="M158" i="1" l="1"/>
  <c r="M159" i="1" s="1"/>
  <c r="K158" i="1"/>
  <c r="K159" i="1" s="1"/>
  <c r="L159" i="1" l="1"/>
  <c r="L160" i="1" s="1"/>
  <c r="K160" i="1"/>
  <c r="K161" i="1" s="1"/>
  <c r="M160" i="1"/>
  <c r="M161" i="1" s="1"/>
  <c r="N159" i="1"/>
  <c r="N160" i="1" s="1"/>
  <c r="N161" i="1" s="1"/>
  <c r="N162" i="1" s="1"/>
  <c r="L161" i="1" l="1"/>
  <c r="L162" i="1" s="1"/>
  <c r="K162" i="1" l="1"/>
  <c r="M162" i="1"/>
  <c r="M163" i="1" s="1"/>
  <c r="K163" i="1" l="1"/>
  <c r="N163" i="1"/>
  <c r="N164" i="1" s="1"/>
  <c r="L163" i="1"/>
  <c r="L164" i="1" s="1"/>
  <c r="M164" i="1" l="1"/>
  <c r="M165" i="1" s="1"/>
  <c r="K164" i="1"/>
  <c r="K165" i="1" s="1"/>
  <c r="N165" i="1" l="1"/>
  <c r="N166" i="1" s="1"/>
  <c r="L165" i="1"/>
  <c r="L166" i="1" s="1"/>
  <c r="M166" i="1" l="1"/>
  <c r="M167" i="1" s="1"/>
  <c r="K166" i="1"/>
  <c r="K167" i="1" s="1"/>
  <c r="N167" i="1" l="1"/>
  <c r="N168" i="1" s="1"/>
  <c r="L167" i="1"/>
  <c r="L168" i="1" s="1"/>
  <c r="M168" i="1" l="1"/>
  <c r="M169" i="1" s="1"/>
  <c r="K168" i="1"/>
  <c r="K169" i="1" s="1"/>
  <c r="L169" i="1" l="1"/>
  <c r="L170" i="1" s="1"/>
  <c r="N169" i="1"/>
  <c r="N170" i="1" s="1"/>
  <c r="M170" i="1" l="1"/>
  <c r="M171" i="1" s="1"/>
  <c r="K170" i="1"/>
  <c r="K171" i="1" s="1"/>
  <c r="L171" i="1" l="1"/>
  <c r="L172" i="1" s="1"/>
  <c r="N171" i="1"/>
  <c r="N172" i="1" s="1"/>
  <c r="M172" i="1" l="1"/>
  <c r="M173" i="1" s="1"/>
  <c r="K172" i="1"/>
  <c r="K173" i="1" s="1"/>
  <c r="N173" i="1" l="1"/>
  <c r="N174" i="1" s="1"/>
  <c r="L173" i="1"/>
  <c r="L174" i="1" s="1"/>
  <c r="M174" i="1" l="1"/>
  <c r="M175" i="1" s="1"/>
  <c r="K174" i="1"/>
  <c r="K175" i="1" s="1"/>
  <c r="N175" i="1" l="1"/>
  <c r="N176" i="1" s="1"/>
  <c r="L175" i="1"/>
  <c r="L176" i="1" s="1"/>
  <c r="K176" i="1" l="1"/>
  <c r="K177" i="1" s="1"/>
  <c r="L177" i="1"/>
  <c r="L178" i="1" s="1"/>
  <c r="M176" i="1"/>
  <c r="M177" i="1" s="1"/>
  <c r="M178" i="1" s="1"/>
  <c r="N177" i="1"/>
  <c r="N178" i="1" s="1"/>
  <c r="M179" i="1" l="1"/>
  <c r="K178" i="1"/>
  <c r="K179" i="1" s="1"/>
  <c r="L179" i="1" l="1"/>
  <c r="N179" i="1"/>
  <c r="N180" i="1" s="1"/>
  <c r="L180" i="1" l="1"/>
  <c r="M180" i="1"/>
  <c r="M181" i="1" s="1"/>
  <c r="K180" i="1"/>
  <c r="K181" i="1" s="1"/>
  <c r="L181" i="1" l="1"/>
  <c r="L182" i="1" s="1"/>
  <c r="N181" i="1"/>
  <c r="N182" i="1" s="1"/>
  <c r="K182" i="1" l="1"/>
  <c r="K183" i="1" s="1"/>
  <c r="M182" i="1"/>
  <c r="M183" i="1" s="1"/>
  <c r="L183" i="1" l="1"/>
  <c r="L184" i="1" s="1"/>
  <c r="N183" i="1"/>
  <c r="N184" i="1" s="1"/>
  <c r="K184" i="1" l="1"/>
  <c r="K185" i="1" s="1"/>
  <c r="M184" i="1"/>
  <c r="M185" i="1" s="1"/>
  <c r="L185" i="1" l="1"/>
  <c r="L186" i="1" s="1"/>
  <c r="N185" i="1"/>
  <c r="N186" i="1" s="1"/>
  <c r="K186" i="1" l="1"/>
  <c r="K187" i="1" s="1"/>
  <c r="M186" i="1"/>
  <c r="M187" i="1" s="1"/>
  <c r="L187" i="1" l="1"/>
  <c r="L188" i="1" s="1"/>
  <c r="N187" i="1"/>
  <c r="N188" i="1" s="1"/>
  <c r="M188" i="1" l="1"/>
  <c r="M189" i="1" s="1"/>
  <c r="K188" i="1"/>
  <c r="K189" i="1" s="1"/>
  <c r="L189" i="1" l="1"/>
  <c r="L190" i="1" s="1"/>
  <c r="N189" i="1"/>
  <c r="N190" i="1" s="1"/>
  <c r="M190" i="1" l="1"/>
  <c r="M191" i="1" s="1"/>
  <c r="K190" i="1"/>
  <c r="K191" i="1" s="1"/>
  <c r="L191" i="1" l="1"/>
  <c r="L192" i="1" s="1"/>
  <c r="N191" i="1"/>
  <c r="N192" i="1" s="1"/>
  <c r="M192" i="1" l="1"/>
  <c r="M193" i="1" s="1"/>
  <c r="K192" i="1"/>
  <c r="K193" i="1" s="1"/>
  <c r="L193" i="1" l="1"/>
  <c r="L194" i="1" s="1"/>
  <c r="N193" i="1"/>
  <c r="N194" i="1" s="1"/>
  <c r="M194" i="1" l="1"/>
  <c r="M195" i="1" s="1"/>
  <c r="K194" i="1"/>
  <c r="K195" i="1" s="1"/>
  <c r="L195" i="1" l="1"/>
  <c r="L196" i="1" s="1"/>
  <c r="N195" i="1"/>
  <c r="N196" i="1" s="1"/>
  <c r="M196" i="1" l="1"/>
  <c r="M197" i="1" s="1"/>
  <c r="K196" i="1"/>
  <c r="K197" i="1" s="1"/>
  <c r="N197" i="1" l="1"/>
  <c r="N198" i="1" s="1"/>
  <c r="L197" i="1"/>
  <c r="L198" i="1" s="1"/>
  <c r="M198" i="1" l="1"/>
  <c r="M199" i="1" s="1"/>
  <c r="K198" i="1"/>
  <c r="K199" i="1" s="1"/>
  <c r="N199" i="1" l="1"/>
  <c r="N200" i="1" s="1"/>
  <c r="L199" i="1"/>
  <c r="L200" i="1" s="1"/>
  <c r="M200" i="1" l="1"/>
  <c r="M201" i="1" s="1"/>
  <c r="K200" i="1"/>
  <c r="K201" i="1" s="1"/>
  <c r="L201" i="1" l="1"/>
  <c r="L202" i="1" s="1"/>
  <c r="K202" i="1"/>
  <c r="K203" i="1" s="1"/>
  <c r="N201" i="1"/>
  <c r="N202" i="1" s="1"/>
  <c r="N203" i="1" s="1"/>
  <c r="N204" i="1" s="1"/>
  <c r="M202" i="1"/>
  <c r="M203" i="1" s="1"/>
  <c r="L203" i="1" l="1"/>
  <c r="L204" i="1" s="1"/>
  <c r="K204" i="1" l="1"/>
  <c r="M204" i="1"/>
  <c r="M205" i="1" s="1"/>
  <c r="K205" i="1" l="1"/>
  <c r="N205" i="1"/>
  <c r="L205" i="1"/>
  <c r="L206" i="1" s="1"/>
  <c r="K206" i="1" l="1"/>
  <c r="K207" i="1" s="1"/>
  <c r="L207" i="1"/>
  <c r="L208" i="1" s="1"/>
  <c r="N206" i="1"/>
  <c r="N207" i="1" s="1"/>
  <c r="N208" i="1" s="1"/>
  <c r="M206" i="1"/>
  <c r="M207" i="1" s="1"/>
  <c r="M208" i="1" s="1"/>
  <c r="M209" i="1" s="1"/>
  <c r="K208" i="1" l="1"/>
  <c r="K209" i="1" s="1"/>
  <c r="L209" i="1" l="1"/>
  <c r="N209" i="1"/>
  <c r="N210" i="1" s="1"/>
  <c r="L210" i="1" l="1"/>
  <c r="M210" i="1"/>
  <c r="K210" i="1"/>
  <c r="K211" i="1" s="1"/>
  <c r="L211" i="1" l="1"/>
  <c r="L212" i="1" s="1"/>
  <c r="K212" i="1"/>
  <c r="K213" i="1" s="1"/>
  <c r="M211" i="1"/>
  <c r="M212" i="1" s="1"/>
  <c r="M213" i="1" s="1"/>
  <c r="N211" i="1"/>
  <c r="N212" i="1" s="1"/>
  <c r="N213" i="1" s="1"/>
  <c r="N214" i="1" s="1"/>
  <c r="L213" i="1" l="1"/>
  <c r="L214" i="1" s="1"/>
  <c r="K214" i="1" l="1"/>
  <c r="M214" i="1"/>
  <c r="M215" i="1" s="1"/>
  <c r="K215" i="1" l="1"/>
  <c r="N215" i="1"/>
  <c r="N216" i="1" s="1"/>
  <c r="L215" i="1"/>
  <c r="L216" i="1" s="1"/>
  <c r="K216" i="1" l="1"/>
  <c r="K217" i="1" s="1"/>
  <c r="M216" i="1"/>
  <c r="M217" i="1" s="1"/>
  <c r="N217" i="1" l="1"/>
  <c r="N218" i="1" s="1"/>
  <c r="L217" i="1"/>
  <c r="L218" i="1" s="1"/>
  <c r="K218" i="1" l="1"/>
  <c r="K219" i="1" s="1"/>
  <c r="N219" i="1"/>
  <c r="N220" i="1" s="1"/>
  <c r="M218" i="1"/>
  <c r="M219" i="1" s="1"/>
  <c r="L219" i="1" l="1"/>
  <c r="L220" i="1" s="1"/>
  <c r="K220" i="1" l="1"/>
  <c r="M220" i="1"/>
  <c r="M221" i="1" s="1"/>
  <c r="K221" i="1" l="1"/>
  <c r="N221" i="1"/>
  <c r="N222" i="1" s="1"/>
  <c r="L221" i="1"/>
  <c r="L222" i="1" s="1"/>
  <c r="K222" i="1" l="1"/>
  <c r="K223" i="1" s="1"/>
  <c r="M222" i="1"/>
  <c r="M223" i="1" s="1"/>
  <c r="N223" i="1" l="1"/>
  <c r="N224" i="1" s="1"/>
  <c r="L223" i="1"/>
  <c r="L224" i="1" s="1"/>
  <c r="K224" i="1" l="1"/>
  <c r="K225" i="1" s="1"/>
  <c r="M224" i="1"/>
  <c r="M225" i="1" s="1"/>
  <c r="N225" i="1" l="1"/>
  <c r="N226" i="1" s="1"/>
  <c r="L225" i="1"/>
  <c r="L226" i="1" s="1"/>
  <c r="K226" i="1" l="1"/>
  <c r="K227" i="1" s="1"/>
  <c r="M226" i="1"/>
  <c r="M227" i="1" s="1"/>
  <c r="N227" i="1" l="1"/>
  <c r="N228" i="1" s="1"/>
  <c r="L227" i="1"/>
  <c r="L228" i="1" s="1"/>
  <c r="K228" i="1" l="1"/>
  <c r="K229" i="1" s="1"/>
  <c r="M228" i="1"/>
  <c r="M229" i="1" s="1"/>
  <c r="N229" i="1" l="1"/>
  <c r="N230" i="1" s="1"/>
  <c r="L229" i="1"/>
  <c r="L230" i="1" s="1"/>
  <c r="M230" i="1" l="1"/>
  <c r="M231" i="1" s="1"/>
  <c r="K230" i="1"/>
  <c r="K231" i="1" s="1"/>
  <c r="N231" i="1" l="1"/>
  <c r="N232" i="1" s="1"/>
  <c r="L231" i="1"/>
  <c r="L232" i="1" s="1"/>
  <c r="M232" i="1" l="1"/>
  <c r="M233" i="1" s="1"/>
  <c r="K232" i="1"/>
  <c r="K233" i="1" s="1"/>
  <c r="N233" i="1"/>
  <c r="N234" i="1" s="1"/>
  <c r="L233" i="1" l="1"/>
  <c r="L234" i="1" s="1"/>
  <c r="M234" i="1" l="1"/>
  <c r="M235" i="1" s="1"/>
  <c r="K234" i="1"/>
  <c r="K235" i="1" l="1"/>
  <c r="N235" i="1"/>
  <c r="N236" i="1" s="1"/>
  <c r="L235" i="1"/>
  <c r="L236" i="1" s="1"/>
  <c r="M236" i="1" l="1"/>
  <c r="M237" i="1" s="1"/>
  <c r="K236" i="1"/>
  <c r="K237" i="1" s="1"/>
  <c r="N237" i="1" l="1"/>
  <c r="N238" i="1" s="1"/>
  <c r="L237" i="1"/>
  <c r="L238" i="1" l="1"/>
  <c r="M238" i="1"/>
  <c r="M239" i="1" s="1"/>
  <c r="K238" i="1"/>
  <c r="K239" i="1" s="1"/>
  <c r="N239" i="1" l="1"/>
  <c r="N240" i="1" s="1"/>
  <c r="L239" i="1"/>
  <c r="L240" i="1" s="1"/>
  <c r="M240" i="1" l="1"/>
  <c r="M241" i="1" s="1"/>
  <c r="K240" i="1"/>
  <c r="K241" i="1" s="1"/>
  <c r="N241" i="1" l="1"/>
  <c r="N242" i="1" s="1"/>
  <c r="L241" i="1"/>
  <c r="L242" i="1" s="1"/>
  <c r="M242" i="1" l="1"/>
  <c r="M243" i="1" s="1"/>
  <c r="K242" i="1"/>
  <c r="K243" i="1" s="1"/>
  <c r="N243" i="1" l="1"/>
  <c r="N244" i="1" s="1"/>
  <c r="L243" i="1"/>
  <c r="L244" i="1" s="1"/>
  <c r="M244" i="1" l="1"/>
  <c r="M245" i="1" s="1"/>
  <c r="K244" i="1"/>
  <c r="K245" i="1" s="1"/>
  <c r="N245" i="1" l="1"/>
  <c r="N246" i="1" s="1"/>
  <c r="L245" i="1"/>
  <c r="L246" i="1" s="1"/>
  <c r="M246" i="1" l="1"/>
  <c r="M247" i="1" s="1"/>
  <c r="K246" i="1"/>
  <c r="K247" i="1" s="1"/>
  <c r="N247" i="1" l="1"/>
  <c r="N248" i="1" s="1"/>
  <c r="L247" i="1"/>
  <c r="L248" i="1" s="1"/>
  <c r="M248" i="1" l="1"/>
  <c r="M249" i="1" s="1"/>
  <c r="K248" i="1"/>
  <c r="K249" i="1" s="1"/>
  <c r="N249" i="1" l="1"/>
  <c r="N250" i="1" s="1"/>
  <c r="L249" i="1"/>
  <c r="L250" i="1" s="1"/>
  <c r="M250" i="1" l="1"/>
  <c r="M251" i="1" s="1"/>
  <c r="K250" i="1"/>
  <c r="K251" i="1" s="1"/>
  <c r="N251" i="1" l="1"/>
  <c r="N252" i="1" s="1"/>
  <c r="L251" i="1"/>
  <c r="L252" i="1" s="1"/>
  <c r="M252" i="1" l="1"/>
  <c r="M253" i="1" s="1"/>
  <c r="K252" i="1"/>
  <c r="K253" i="1" s="1"/>
  <c r="N253" i="1" l="1"/>
  <c r="N254" i="1" s="1"/>
  <c r="L253" i="1"/>
  <c r="L254" i="1" s="1"/>
  <c r="M254" i="1" l="1"/>
  <c r="M255" i="1" s="1"/>
  <c r="K254" i="1"/>
  <c r="K255" i="1" s="1"/>
  <c r="L255" i="1" l="1"/>
  <c r="L256" i="1" s="1"/>
  <c r="N255" i="1"/>
  <c r="N256" i="1" s="1"/>
  <c r="M256" i="1" l="1"/>
  <c r="M257" i="1" s="1"/>
  <c r="K256" i="1"/>
  <c r="K257" i="1" s="1"/>
  <c r="L257" i="1" l="1"/>
  <c r="L258" i="1" s="1"/>
  <c r="N257" i="1"/>
  <c r="N258" i="1" s="1"/>
  <c r="K258" i="1"/>
  <c r="K259" i="1" s="1"/>
  <c r="N259" i="1"/>
  <c r="N260" i="1" s="1"/>
  <c r="M258" i="1" l="1"/>
  <c r="M259" i="1" s="1"/>
  <c r="L259" i="1"/>
  <c r="L260" i="1" l="1"/>
  <c r="M260" i="1"/>
  <c r="M261" i="1" s="1"/>
  <c r="K260" i="1"/>
  <c r="K261" i="1" l="1"/>
  <c r="N261" i="1"/>
  <c r="N262" i="1" s="1"/>
  <c r="L261" i="1"/>
  <c r="L262" i="1" s="1"/>
  <c r="M262" i="1" l="1"/>
  <c r="M263" i="1" s="1"/>
  <c r="K262" i="1"/>
  <c r="K263" i="1" s="1"/>
  <c r="L263" i="1" l="1"/>
  <c r="L264" i="1" s="1"/>
  <c r="N263" i="1"/>
  <c r="N264" i="1" s="1"/>
  <c r="M264" i="1" l="1"/>
  <c r="M265" i="1" s="1"/>
  <c r="K264" i="1"/>
  <c r="K265" i="1" s="1"/>
  <c r="L265" i="1" l="1"/>
  <c r="L266" i="1" s="1"/>
  <c r="N265" i="1"/>
  <c r="N266" i="1" s="1"/>
  <c r="K266" i="1" l="1"/>
  <c r="K267" i="1" s="1"/>
  <c r="M266" i="1"/>
  <c r="M267" i="1" s="1"/>
  <c r="L267" i="1" l="1"/>
  <c r="L268" i="1" s="1"/>
  <c r="N267" i="1"/>
  <c r="N268" i="1" s="1"/>
  <c r="K268" i="1" l="1"/>
  <c r="K269" i="1" s="1"/>
  <c r="M268" i="1"/>
  <c r="M269" i="1" s="1"/>
  <c r="L269" i="1" l="1"/>
  <c r="L270" i="1" s="1"/>
  <c r="N269" i="1"/>
  <c r="N270" i="1" s="1"/>
  <c r="K270" i="1" l="1"/>
  <c r="K271" i="1" s="1"/>
  <c r="M270" i="1"/>
  <c r="M271" i="1" s="1"/>
  <c r="L271" i="1" l="1"/>
  <c r="L272" i="1" s="1"/>
  <c r="N271" i="1"/>
  <c r="N272" i="1" s="1"/>
  <c r="K272" i="1" l="1"/>
  <c r="K273" i="1" s="1"/>
  <c r="M272" i="1"/>
  <c r="M273" i="1" s="1"/>
  <c r="L273" i="1" l="1"/>
  <c r="L274" i="1" s="1"/>
  <c r="M274" i="1"/>
  <c r="M275" i="1" s="1"/>
  <c r="N273" i="1"/>
  <c r="N274" i="1" s="1"/>
  <c r="K274" i="1" l="1"/>
  <c r="K275" i="1" s="1"/>
  <c r="L275" i="1" l="1"/>
  <c r="N275" i="1"/>
  <c r="N276" i="1" s="1"/>
  <c r="L276" i="1" l="1"/>
  <c r="M276" i="1"/>
  <c r="M277" i="1" s="1"/>
  <c r="K276" i="1"/>
  <c r="K277" i="1" s="1"/>
  <c r="L277" i="1" l="1"/>
  <c r="L278" i="1" s="1"/>
  <c r="N277" i="1"/>
  <c r="N278" i="1" s="1"/>
  <c r="M278" i="1" l="1"/>
  <c r="M279" i="1" s="1"/>
  <c r="K278" i="1"/>
  <c r="K279" i="1" s="1"/>
  <c r="L279" i="1" l="1"/>
  <c r="L280" i="1" s="1"/>
  <c r="N279" i="1"/>
  <c r="N280" i="1" s="1"/>
  <c r="M280" i="1" l="1"/>
  <c r="M281" i="1" s="1"/>
  <c r="K280" i="1"/>
  <c r="K281" i="1" s="1"/>
  <c r="L281" i="1" l="1"/>
  <c r="L282" i="1" s="1"/>
  <c r="N281" i="1"/>
  <c r="N282" i="1" s="1"/>
  <c r="M282" i="1" l="1"/>
  <c r="M283" i="1" s="1"/>
  <c r="K282" i="1"/>
  <c r="K283" i="1" s="1"/>
  <c r="L283" i="1" l="1"/>
  <c r="L284" i="1" s="1"/>
  <c r="N283" i="1"/>
  <c r="N284" i="1" s="1"/>
  <c r="M284" i="1" l="1"/>
  <c r="M285" i="1" s="1"/>
  <c r="K284" i="1"/>
  <c r="K285" i="1" s="1"/>
  <c r="N285" i="1" l="1"/>
  <c r="N286" i="1" s="1"/>
  <c r="L285" i="1"/>
  <c r="L286" i="1" s="1"/>
  <c r="M286" i="1" l="1"/>
  <c r="M287" i="1" s="1"/>
  <c r="K286" i="1"/>
  <c r="L287" i="1" s="1"/>
  <c r="K287" i="1" l="1"/>
  <c r="K288" i="1" s="1"/>
  <c r="N287" i="1"/>
  <c r="N288" i="1" s="1"/>
  <c r="N289" i="1" s="1"/>
  <c r="M288" i="1"/>
  <c r="L288" i="1" l="1"/>
  <c r="L289" i="1" s="1"/>
  <c r="K289" i="1" l="1"/>
  <c r="M289" i="1"/>
  <c r="M290" i="1" s="1"/>
  <c r="K290" i="1" l="1"/>
  <c r="N290" i="1"/>
  <c r="N291" i="1" s="1"/>
  <c r="L290" i="1"/>
  <c r="L291" i="1" s="1"/>
  <c r="K291" i="1" l="1"/>
  <c r="K292" i="1" s="1"/>
  <c r="M291" i="1"/>
  <c r="M292" i="1" s="1"/>
  <c r="N292" i="1" l="1"/>
  <c r="N293" i="1" s="1"/>
  <c r="L292" i="1"/>
  <c r="L293" i="1" s="1"/>
  <c r="K293" i="1" l="1"/>
  <c r="K294" i="1" s="1"/>
  <c r="N294" i="1"/>
  <c r="N295" i="1" s="1"/>
  <c r="M293" i="1"/>
  <c r="M294" i="1" s="1"/>
  <c r="L294" i="1" l="1"/>
  <c r="L295" i="1" s="1"/>
  <c r="M295" i="1" l="1"/>
  <c r="M296" i="1" s="1"/>
  <c r="K295" i="1"/>
  <c r="K296" i="1" l="1"/>
  <c r="N296" i="1"/>
  <c r="N297" i="1" s="1"/>
  <c r="L296" i="1"/>
  <c r="L297" i="1" s="1"/>
  <c r="M297" i="1"/>
  <c r="M298" i="1" s="1"/>
  <c r="K297" i="1" l="1"/>
  <c r="K298" i="1" s="1"/>
  <c r="N298" i="1" l="1"/>
  <c r="N299" i="1" s="1"/>
  <c r="L298" i="1"/>
  <c r="L299" i="1" l="1"/>
  <c r="M299" i="1"/>
  <c r="M300" i="1" s="1"/>
  <c r="K299" i="1"/>
  <c r="K300" i="1" l="1"/>
  <c r="N300" i="1"/>
  <c r="N301" i="1" s="1"/>
  <c r="L300" i="1"/>
  <c r="L301" i="1" s="1"/>
  <c r="K301" i="1" l="1"/>
  <c r="K302" i="1" s="1"/>
  <c r="M301" i="1"/>
  <c r="M302" i="1" s="1"/>
  <c r="N302" i="1" l="1"/>
  <c r="N303" i="1" s="1"/>
  <c r="L302" i="1"/>
  <c r="L303" i="1" s="1"/>
  <c r="K303" i="1" l="1"/>
  <c r="K304" i="1" s="1"/>
  <c r="M303" i="1"/>
  <c r="M304" i="1" s="1"/>
  <c r="L304" i="1" l="1"/>
  <c r="L305" i="1" s="1"/>
  <c r="N304" i="1"/>
  <c r="N305" i="1" s="1"/>
  <c r="K305" i="1" l="1"/>
  <c r="K306" i="1" s="1"/>
  <c r="M305" i="1"/>
  <c r="M306" i="1" s="1"/>
  <c r="L306" i="1" l="1"/>
  <c r="L307" i="1" s="1"/>
  <c r="N306" i="1"/>
  <c r="N307" i="1" s="1"/>
  <c r="K307" i="1" l="1"/>
  <c r="K308" i="1" s="1"/>
  <c r="M307" i="1"/>
  <c r="M308" i="1" s="1"/>
  <c r="L308" i="1" l="1"/>
  <c r="L309" i="1" s="1"/>
  <c r="N308" i="1"/>
  <c r="N309" i="1" s="1"/>
  <c r="K309" i="1" l="1"/>
  <c r="K310" i="1" s="1"/>
  <c r="M309" i="1"/>
  <c r="M310" i="1" s="1"/>
  <c r="L310" i="1" l="1"/>
  <c r="L311" i="1" s="1"/>
  <c r="K311" i="1"/>
  <c r="K312" i="1" s="1"/>
  <c r="N310" i="1"/>
  <c r="N311" i="1" s="1"/>
  <c r="N312" i="1" l="1"/>
  <c r="N313" i="1" s="1"/>
  <c r="L312" i="1"/>
  <c r="L313" i="1" s="1"/>
  <c r="M311" i="1"/>
  <c r="M312" i="1" s="1"/>
  <c r="M313" i="1" s="1"/>
  <c r="M314" i="1" l="1"/>
  <c r="K313" i="1"/>
  <c r="L314" i="1" s="1"/>
  <c r="M315" i="1" l="1"/>
  <c r="K314" i="1"/>
  <c r="K315" i="1" s="1"/>
  <c r="N314" i="1"/>
  <c r="N315" i="1" s="1"/>
  <c r="N316" i="1" s="1"/>
  <c r="L315" i="1" l="1"/>
  <c r="L316" i="1" l="1"/>
  <c r="M316" i="1"/>
  <c r="M317" i="1" s="1"/>
  <c r="K316" i="1"/>
  <c r="K317" i="1" l="1"/>
  <c r="N317" i="1"/>
  <c r="N318" i="1" s="1"/>
  <c r="L317" i="1"/>
  <c r="L318" i="1" s="1"/>
  <c r="K318" i="1" l="1"/>
  <c r="K319" i="1" s="1"/>
  <c r="M318" i="1"/>
  <c r="M319" i="1" s="1"/>
  <c r="L319" i="1" l="1"/>
  <c r="L320" i="1" s="1"/>
  <c r="N319" i="1"/>
  <c r="N320" i="1" s="1"/>
  <c r="K320" i="1" l="1"/>
  <c r="K321" i="1" s="1"/>
  <c r="M320" i="1"/>
  <c r="M321" i="1" s="1"/>
  <c r="L321" i="1" l="1"/>
  <c r="L322" i="1" s="1"/>
  <c r="N321" i="1"/>
  <c r="N322" i="1" s="1"/>
  <c r="K322" i="1" l="1"/>
  <c r="K323" i="1" s="1"/>
  <c r="M322" i="1"/>
  <c r="M323" i="1" s="1"/>
  <c r="N323" i="1" l="1"/>
  <c r="N324" i="1" s="1"/>
  <c r="L323" i="1"/>
  <c r="L324" i="1" s="1"/>
  <c r="K324" i="1" l="1"/>
  <c r="K325" i="1" s="1"/>
  <c r="N325" i="1"/>
  <c r="N326" i="1" s="1"/>
  <c r="M324" i="1"/>
  <c r="M325" i="1" s="1"/>
  <c r="L325" i="1" l="1"/>
  <c r="L326" i="1" s="1"/>
  <c r="K326" i="1" l="1"/>
  <c r="M326" i="1"/>
  <c r="M327" i="1" s="1"/>
  <c r="K327" i="1" l="1"/>
  <c r="N327" i="1"/>
  <c r="N328" i="1" s="1"/>
  <c r="L327" i="1"/>
  <c r="L328" i="1" s="1"/>
  <c r="K328" i="1" l="1"/>
  <c r="K329" i="1" s="1"/>
  <c r="M328" i="1"/>
  <c r="M329" i="1" s="1"/>
  <c r="L329" i="1" l="1"/>
  <c r="L330" i="1" s="1"/>
  <c r="K330" i="1"/>
  <c r="K331" i="1" s="1"/>
  <c r="N329" i="1"/>
  <c r="N330" i="1" s="1"/>
  <c r="N331" i="1" l="1"/>
  <c r="N332" i="1" s="1"/>
  <c r="L331" i="1"/>
  <c r="L332" i="1" s="1"/>
  <c r="M330" i="1"/>
  <c r="M331" i="1" s="1"/>
  <c r="M332" i="1" s="1"/>
  <c r="M333" i="1" s="1"/>
  <c r="K332" i="1" l="1"/>
  <c r="K333" i="1" s="1"/>
  <c r="N333" i="1" l="1"/>
  <c r="N334" i="1" s="1"/>
  <c r="L333" i="1"/>
  <c r="L334" i="1" l="1"/>
  <c r="M334" i="1"/>
  <c r="M335" i="1" s="1"/>
  <c r="K334" i="1"/>
  <c r="K335" i="1" s="1"/>
  <c r="N335" i="1" l="1"/>
  <c r="N336" i="1" s="1"/>
  <c r="L335" i="1"/>
  <c r="L336" i="1" s="1"/>
  <c r="M336" i="1" l="1"/>
  <c r="M337" i="1" s="1"/>
  <c r="K336" i="1"/>
  <c r="K337" i="1" s="1"/>
  <c r="N337" i="1" l="1"/>
  <c r="N338" i="1" s="1"/>
  <c r="L337" i="1"/>
  <c r="L338" i="1" s="1"/>
  <c r="M338" i="1" l="1"/>
  <c r="M339" i="1" s="1"/>
  <c r="K338" i="1"/>
  <c r="K339" i="1" s="1"/>
  <c r="N339" i="1" l="1"/>
  <c r="N340" i="1" s="1"/>
  <c r="L339" i="1"/>
  <c r="L340" i="1" s="1"/>
  <c r="M340" i="1" l="1"/>
  <c r="M341" i="1" s="1"/>
  <c r="K340" i="1"/>
  <c r="K341" i="1" s="1"/>
  <c r="N341" i="1" l="1"/>
  <c r="N342" i="1" s="1"/>
  <c r="L341" i="1"/>
  <c r="L342" i="1" s="1"/>
  <c r="M342" i="1" l="1"/>
  <c r="M343" i="1" s="1"/>
  <c r="K342" i="1"/>
  <c r="K343" i="1" s="1"/>
  <c r="N343" i="1" l="1"/>
  <c r="N344" i="1" s="1"/>
  <c r="L343" i="1"/>
  <c r="L344" i="1" s="1"/>
  <c r="M344" i="1"/>
  <c r="M345" i="1" s="1"/>
  <c r="K344" i="1" l="1"/>
  <c r="K345" i="1" s="1"/>
  <c r="N345" i="1" l="1"/>
  <c r="N346" i="1" s="1"/>
  <c r="L345" i="1"/>
  <c r="L346" i="1" l="1"/>
  <c r="M346" i="1"/>
  <c r="M347" i="1" s="1"/>
  <c r="K346" i="1"/>
  <c r="K347" i="1" s="1"/>
  <c r="N347" i="1" l="1"/>
  <c r="N348" i="1" s="1"/>
  <c r="L347" i="1"/>
  <c r="L348" i="1" s="1"/>
  <c r="K348" i="1" l="1"/>
  <c r="K349" i="1" s="1"/>
  <c r="M348" i="1"/>
  <c r="M349" i="1" s="1"/>
  <c r="N349" i="1" l="1"/>
  <c r="N350" i="1" s="1"/>
  <c r="L349" i="1"/>
  <c r="L350" i="1" s="1"/>
  <c r="K350" i="1" l="1"/>
  <c r="K351" i="1" s="1"/>
  <c r="M350" i="1"/>
  <c r="M351" i="1" s="1"/>
  <c r="N351" i="1" l="1"/>
  <c r="N352" i="1" s="1"/>
  <c r="L351" i="1"/>
  <c r="L352" i="1" s="1"/>
  <c r="K352" i="1" l="1"/>
  <c r="K353" i="1" s="1"/>
  <c r="M352" i="1"/>
  <c r="M353" i="1" s="1"/>
  <c r="N353" i="1" l="1"/>
  <c r="N354" i="1" s="1"/>
  <c r="L353" i="1"/>
  <c r="L354" i="1" s="1"/>
  <c r="K354" i="1" l="1"/>
  <c r="K355" i="1" s="1"/>
  <c r="M354" i="1"/>
  <c r="M355" i="1" s="1"/>
  <c r="L355" i="1" l="1"/>
  <c r="L356" i="1" s="1"/>
  <c r="K356" i="1"/>
  <c r="K357" i="1" s="1"/>
  <c r="N355" i="1"/>
  <c r="N356" i="1" s="1"/>
  <c r="N357" i="1" s="1"/>
  <c r="N358" i="1" s="1"/>
  <c r="M356" i="1" l="1"/>
  <c r="M357" i="1" s="1"/>
  <c r="L357" i="1"/>
  <c r="L358" i="1" s="1"/>
  <c r="M358" i="1"/>
  <c r="M359" i="1" s="1"/>
  <c r="K358" i="1" l="1"/>
  <c r="K359" i="1" l="1"/>
  <c r="N359" i="1"/>
  <c r="N360" i="1" s="1"/>
  <c r="L359" i="1"/>
  <c r="L360" i="1" l="1"/>
  <c r="M360" i="1"/>
  <c r="M361" i="1" s="1"/>
  <c r="K360" i="1"/>
  <c r="K361" i="1" s="1"/>
  <c r="L361" i="1" l="1"/>
  <c r="L362" i="1" s="1"/>
  <c r="N361" i="1"/>
  <c r="N362" i="1" s="1"/>
  <c r="K362" i="1" l="1"/>
  <c r="K363" i="1" s="1"/>
  <c r="M362" i="1"/>
  <c r="M363" i="1" s="1"/>
  <c r="L363" i="1" l="1"/>
  <c r="L364" i="1" s="1"/>
  <c r="N363" i="1"/>
  <c r="N364" i="1" s="1"/>
  <c r="K364" i="1" l="1"/>
  <c r="K365" i="1" s="1"/>
  <c r="M364" i="1"/>
  <c r="M365" i="1" s="1"/>
  <c r="L365" i="1" l="1"/>
  <c r="L366" i="1" s="1"/>
  <c r="N365" i="1"/>
  <c r="N366" i="1" s="1"/>
  <c r="K366" i="1" l="1"/>
  <c r="K367" i="1" s="1"/>
  <c r="M366" i="1"/>
  <c r="M367" i="1" s="1"/>
  <c r="L367" i="1" l="1"/>
  <c r="L368" i="1" s="1"/>
  <c r="N367" i="1"/>
  <c r="N368" i="1" s="1"/>
  <c r="K368" i="1" l="1"/>
  <c r="M368" i="1"/>
  <c r="O368" i="1" l="1"/>
</calcChain>
</file>

<file path=xl/sharedStrings.xml><?xml version="1.0" encoding="utf-8"?>
<sst xmlns="http://schemas.openxmlformats.org/spreadsheetml/2006/main" count="30" uniqueCount="30">
  <si>
    <t>Date</t>
  </si>
  <si>
    <t>Newly Infected</t>
  </si>
  <si>
    <t>Total Infected</t>
  </si>
  <si>
    <t>Cum Cases</t>
  </si>
  <si>
    <t>Cum Vaccinated</t>
  </si>
  <si>
    <t>Susceptible</t>
  </si>
  <si>
    <t>Smoothed</t>
  </si>
  <si>
    <t>Infect Rate</t>
  </si>
  <si>
    <t>Vacc Rate</t>
  </si>
  <si>
    <t>Population:</t>
  </si>
  <si>
    <t>S</t>
  </si>
  <si>
    <t>I</t>
  </si>
  <si>
    <t>R</t>
  </si>
  <si>
    <t>V</t>
  </si>
  <si>
    <t>Sum</t>
  </si>
  <si>
    <t xml:space="preserve">Month </t>
  </si>
  <si>
    <t>Avg Inf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</si>
  <si>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</si>
  <si>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</si>
  <si>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</si>
  <si>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</si>
  <si>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</si>
  <si>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</si>
  <si>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</si>
  <si>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</si>
  <si>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</si>
  <si>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</si>
  <si>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</si>
  <si>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</si>
  <si>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Avg Vacc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</si>
</sst>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Iowa 2021 Covid-19</a:t>
            </a:r>
            <a:r>
              <a:rPr lang="en-US" baseline="0"/>
              <a:t> Spread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Sheet1!$K$3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Sheet1!$K$4:$K$368</c:f>
              <c:numCache>
                <c:formatCode>General</c:formatCode>
                <c:ptCount val="365"/>
                <c:pt idx="0">
                  <c:v>2916057</c:v>
                </c:pt>
                <c:pt idx="1">
                  <c:v>2905280.213174073</c:v>
                </c:pt>
                <c:pt idx="2">
                  <c:v>2894547.9847926698</c:v>
                </c:pt>
                <c:pt idx="3">
                  <c:v>2883860.5250266101</c:v>
                </c:pt>
                <c:pt idx="4">
                  <c:v>2873218.0319771194</c:v>
                </c:pt>
                <c:pt idx="5">
                  <c:v>2862620.6914798226</c:v>
                </c:pt>
                <c:pt idx="6">
                  <c:v>2852068.676931533</c:v>
                </c:pt>
                <c:pt idx="7">
                  <c:v>2841562.1491397712</c:v>
                </c:pt>
                <c:pt idx="8">
                  <c:v>2831101.2561948821</c:v>
                </c:pt>
                <c:pt idx="9">
                  <c:v>2820686.1333645764</c:v>
                </c:pt>
                <c:pt idx="10">
                  <c:v>2810316.9030106636</c:v>
                </c:pt>
                <c:pt idx="11">
                  <c:v>2799993.6745276935</c:v>
                </c:pt>
                <c:pt idx="12">
                  <c:v>2789716.5443031802</c:v>
                </c:pt>
                <c:pt idx="13">
                  <c:v>2779485.5956990295</c:v>
                </c:pt>
                <c:pt idx="14">
                  <c:v>2769300.8990537566</c:v>
                </c:pt>
                <c:pt idx="15">
                  <c:v>2759162.5117050302</c:v>
                </c:pt>
                <c:pt idx="16">
                  <c:v>2749070.4780320483</c:v>
                </c:pt>
                <c:pt idx="17">
                  <c:v>2739024.8295172136</c:v>
                </c:pt>
                <c:pt idx="18">
                  <c:v>2729025.5848265388</c:v>
                </c:pt>
                <c:pt idx="19">
                  <c:v>2719072.7499081916</c:v>
                </c:pt>
                <c:pt idx="20">
                  <c:v>2709166.3181085479</c:v>
                </c:pt>
                <c:pt idx="21">
                  <c:v>2699306.2703051111</c:v>
                </c:pt>
                <c:pt idx="22">
                  <c:v>2689492.5750556197</c:v>
                </c:pt>
                <c:pt idx="23">
                  <c:v>2679725.1887626578</c:v>
                </c:pt>
                <c:pt idx="24">
                  <c:v>2670004.0558530563</c:v>
                </c:pt>
                <c:pt idx="25">
                  <c:v>2660329.1089713625</c:v>
                </c:pt>
                <c:pt idx="26">
                  <c:v>2650700.2691866462</c:v>
                </c:pt>
                <c:pt idx="27">
                  <c:v>2641117.446211895</c:v>
                </c:pt>
                <c:pt idx="28">
                  <c:v>2631580.5386352492</c:v>
                </c:pt>
                <c:pt idx="29">
                  <c:v>2622089.4341623206</c:v>
                </c:pt>
                <c:pt idx="30">
                  <c:v>2612644.0098688365</c:v>
                </c:pt>
                <c:pt idx="31">
                  <c:v>2598603.9733487195</c:v>
                </c:pt>
                <c:pt idx="32">
                  <c:v>2584647.4276170488</c:v>
                </c:pt>
                <c:pt idx="33">
                  <c:v>2570774.1867944929</c:v>
                </c:pt>
                <c:pt idx="34">
                  <c:v>2556984.0473903455</c:v>
                </c:pt>
                <c:pt idx="35">
                  <c:v>2543276.788477018</c:v>
                </c:pt>
                <c:pt idx="36">
                  <c:v>2529652.1719015678</c:v>
                </c:pt>
                <c:pt idx="37">
                  <c:v>2516109.9425325831</c:v>
                </c:pt>
                <c:pt idx="38">
                  <c:v>2502649.8285406907</c:v>
                </c:pt>
                <c:pt idx="39">
                  <c:v>2489271.5417108922</c:v>
                </c:pt>
                <c:pt idx="40">
                  <c:v>2475974.7777848863</c:v>
                </c:pt>
                <c:pt idx="41">
                  <c:v>2462759.2168315058</c:v>
                </c:pt>
                <c:pt idx="42">
                  <c:v>2449624.5236433609</c:v>
                </c:pt>
                <c:pt idx="43">
                  <c:v>2436570.3481577691</c:v>
                </c:pt>
                <c:pt idx="44">
                  <c:v>2423596.3259000317</c:v>
                </c:pt>
                <c:pt idx="45">
                  <c:v>2410702.0784471263</c:v>
                </c:pt>
                <c:pt idx="46">
                  <c:v>2397887.2139098798</c:v>
                </c:pt>
                <c:pt idx="47">
                  <c:v>2385151.3274317002</c:v>
                </c:pt>
                <c:pt idx="48">
                  <c:v>2372494.0017019701</c:v>
                </c:pt>
                <c:pt idx="49">
                  <c:v>2359914.8074822254</c:v>
                </c:pt>
                <c:pt idx="50">
                  <c:v>2347413.304143277</c:v>
                </c:pt>
                <c:pt idx="51">
                  <c:v>2334989.0402114685</c:v>
                </c:pt>
                <c:pt idx="52">
                  <c:v>2322641.5539223086</c:v>
                </c:pt>
                <c:pt idx="53">
                  <c:v>2310370.3737797644</c:v>
                </c:pt>
                <c:pt idx="54">
                  <c:v>2298175.0191195495</c:v>
                </c:pt>
                <c:pt idx="55">
                  <c:v>2286055.0006748019</c:v>
                </c:pt>
                <c:pt idx="56">
                  <c:v>2274009.8211426004</c:v>
                </c:pt>
                <c:pt idx="57">
                  <c:v>2262038.9757498414</c:v>
                </c:pt>
                <c:pt idx="58">
                  <c:v>2250141.9528170452</c:v>
                </c:pt>
                <c:pt idx="59">
                  <c:v>2234128.2880292237</c:v>
                </c:pt>
                <c:pt idx="60">
                  <c:v>2218221.0574865784</c:v>
                </c:pt>
                <c:pt idx="61">
                  <c:v>2202420.0779300784</c:v>
                </c:pt>
                <c:pt idx="62">
                  <c:v>2186725.168724562</c:v>
                </c:pt>
                <c:pt idx="63">
                  <c:v>2171136.1505436087</c:v>
                </c:pt>
                <c:pt idx="64">
                  <c:v>2155652.8440762823</c:v>
                </c:pt>
                <c:pt idx="65">
                  <c:v>2140275.0687606623</c:v>
                </c:pt>
                <c:pt idx="66">
                  <c:v>2125002.6415488832</c:v>
                </c:pt>
                <c:pt idx="67">
                  <c:v>2109835.3757081553</c:v>
                </c:pt>
                <c:pt idx="68">
                  <c:v>2094773.0796619945</c:v>
                </c:pt>
                <c:pt idx="69">
                  <c:v>2079815.5558756124</c:v>
                </c:pt>
                <c:pt idx="70">
                  <c:v>2064962.5997891265</c:v>
                </c:pt>
                <c:pt idx="71">
                  <c:v>2050213.9988019397</c:v>
                </c:pt>
                <c:pt idx="72">
                  <c:v>2035569.5313113204</c:v>
                </c:pt>
                <c:pt idx="73">
                  <c:v>2021028.9658078903</c:v>
                </c:pt>
                <c:pt idx="74">
                  <c:v>2006592.0600303763</c:v>
                </c:pt>
                <c:pt idx="75">
                  <c:v>1992258.5601816562</c:v>
                </c:pt>
                <c:pt idx="76">
                  <c:v>1978028.2002077713</c:v>
                </c:pt>
                <c:pt idx="77">
                  <c:v>1963900.7011412419</c:v>
                </c:pt>
                <c:pt idx="78">
                  <c:v>1949875.7705096751</c:v>
                </c:pt>
                <c:pt idx="79">
                  <c:v>1935953.1018103196</c:v>
                </c:pt>
                <c:pt idx="80">
                  <c:v>1922132.3740508882</c:v>
                </c:pt>
                <c:pt idx="81">
                  <c:v>1908413.2513566506</c:v>
                </c:pt>
                <c:pt idx="82">
                  <c:v>1894795.3826434838</c:v>
                </c:pt>
                <c:pt idx="83">
                  <c:v>1881278.4013562703</c:v>
                </c:pt>
                <c:pt idx="84">
                  <c:v>1867861.9252717465</c:v>
                </c:pt>
                <c:pt idx="85">
                  <c:v>1854545.5563646364</c:v>
                </c:pt>
                <c:pt idx="86">
                  <c:v>1841328.8807356481</c:v>
                </c:pt>
                <c:pt idx="87">
                  <c:v>1828211.4685996759</c:v>
                </c:pt>
                <c:pt idx="88">
                  <c:v>1815192.8743323314</c:v>
                </c:pt>
                <c:pt idx="89">
                  <c:v>1802272.6365727258</c:v>
                </c:pt>
                <c:pt idx="90">
                  <c:v>1786690.4728337526</c:v>
                </c:pt>
                <c:pt idx="91">
                  <c:v>1771241.8009655965</c:v>
                </c:pt>
                <c:pt idx="92">
                  <c:v>1755926.0382145925</c:v>
                </c:pt>
                <c:pt idx="93">
                  <c:v>1740742.5898527007</c:v>
                </c:pt>
                <c:pt idx="94">
                  <c:v>1725690.8482042707</c:v>
                </c:pt>
                <c:pt idx="95">
                  <c:v>1710770.1917736186</c:v>
                </c:pt>
                <c:pt idx="96">
                  <c:v>1695979.9844745768</c:v>
                </c:pt>
                <c:pt idx="97">
                  <c:v>1681319.5749625564</c:v>
                </c:pt>
                <c:pt idx="98">
                  <c:v>1666788.2960690507</c:v>
                </c:pt>
                <c:pt idx="99">
                  <c:v>1652385.4643379266</c:v>
                </c:pt>
                <c:pt idx="100">
                  <c:v>1638110.37966229</c:v>
                </c:pt>
                <c:pt idx="101">
                  <c:v>1623962.3250201887</c:v>
                </c:pt>
                <c:pt idx="102">
                  <c:v>1609940.5663069163</c:v>
                </c:pt>
                <c:pt idx="103">
                  <c:v>1596044.3522612257</c:v>
                </c:pt>
                <c:pt idx="104">
                  <c:v>1582272.9144823393</c:v>
                </c:pt>
                <c:pt idx="105">
                  <c:v>1568625.4675342573</c:v>
                </c:pt>
                <c:pt idx="106">
                  <c:v>1555101.209133527</c:v>
                </c:pt>
                <c:pt idx="107">
                  <c:v>1541699.3204163327</c:v>
                </c:pt>
                <c:pt idx="108">
                  <c:v>1528418.9662805065</c:v>
                </c:pt>
                <c:pt idx="109">
                  <c:v>1515259.2957978381</c:v>
                </c:pt>
                <c:pt idx="110">
                  <c:v>1502219.4426918877</c:v>
                </c:pt>
                <c:pt idx="111">
                  <c:v>1489298.5258763598</c:v>
                </c:pt>
                <c:pt idx="112">
                  <c:v>1476495.6500490052</c:v>
                </c:pt>
                <c:pt idx="113">
                  <c:v>1463809.9063359417</c:v>
                </c:pt>
                <c:pt idx="114">
                  <c:v>1451240.3729812696</c:v>
                </c:pt>
                <c:pt idx="115">
                  <c:v>1438786.1160768529</c:v>
                </c:pt>
                <c:pt idx="116">
                  <c:v>1426446.1903271833</c:v>
                </c:pt>
                <c:pt idx="117">
                  <c:v>1414219.6398443035</c:v>
                </c:pt>
                <c:pt idx="118">
                  <c:v>1402105.4989678673</c:v>
                </c:pt>
                <c:pt idx="119">
                  <c:v>1390102.7931055317</c:v>
                </c:pt>
                <c:pt idx="120">
                  <c:v>1384508.3590184187</c:v>
                </c:pt>
                <c:pt idx="121">
                  <c:v>1378945.2546098963</c:v>
                </c:pt>
                <c:pt idx="122">
                  <c:v>1373413.1571222118</c:v>
                </c:pt>
                <c:pt idx="123">
                  <c:v>1367911.7447245745</c:v>
                </c:pt>
                <c:pt idx="124">
                  <c:v>1362440.6967496674</c:v>
                </c:pt>
                <c:pt idx="125">
                  <c:v>1356999.6939194999</c:v>
                </c:pt>
                <c:pt idx="126">
                  <c:v>1351588.4185606425</c:v>
                </c:pt>
                <c:pt idx="127">
                  <c:v>1346206.5548089072</c:v>
                </c:pt>
                <c:pt idx="128">
                  <c:v>1340853.7888035607</c:v>
                </c:pt>
                <c:pt idx="129">
                  <c:v>1335529.8088711724</c:v>
                </c:pt>
                <c:pt idx="130">
                  <c:v>1330234.3056992209</c:v>
                </c:pt>
                <c:pt idx="131">
                  <c:v>1324966.9724995957</c:v>
                </c:pt>
                <c:pt idx="132">
                  <c:v>1319727.5051621508</c:v>
                </c:pt>
                <c:pt idx="133">
                  <c:v>1314515.6023984782</c:v>
                </c:pt>
                <c:pt idx="134">
                  <c:v>1309330.9658760817</c:v>
                </c:pt>
                <c:pt idx="135">
                  <c:v>1304173.3003431472</c:v>
                </c:pt>
                <c:pt idx="136">
                  <c:v>1299042.3137441112</c:v>
                </c:pt>
                <c:pt idx="137">
                  <c:v>1293937.7173262436</c:v>
                </c:pt>
                <c:pt idx="138">
                  <c:v>1288859.2257374662</c:v>
                </c:pt>
                <c:pt idx="139">
                  <c:v>1283806.5571156382</c:v>
                </c:pt>
                <c:pt idx="140">
                  <c:v>1278779.4331695449</c:v>
                </c:pt>
                <c:pt idx="141">
                  <c:v>1273777.5792518323</c:v>
                </c:pt>
                <c:pt idx="142">
                  <c:v>1268800.7244241354</c:v>
                </c:pt>
                <c:pt idx="143">
                  <c:v>1263848.6015146503</c:v>
                </c:pt>
                <c:pt idx="144">
                  <c:v>1258920.9471684066</c:v>
                </c:pt>
                <c:pt idx="145">
                  <c:v>1254017.5018904933</c:v>
                </c:pt>
                <c:pt idx="146">
                  <c:v>1249138.0100824996</c:v>
                </c:pt>
                <c:pt idx="147">
                  <c:v>1244282.2200724271</c:v>
                </c:pt>
                <c:pt idx="148">
                  <c:v>1239449.8841383345</c:v>
                </c:pt>
                <c:pt idx="149">
                  <c:v>1234640.7585259716</c:v>
                </c:pt>
                <c:pt idx="150">
                  <c:v>1229854.6034606607</c:v>
                </c:pt>
                <c:pt idx="151">
                  <c:v>1227467.9428177541</c:v>
                </c:pt>
                <c:pt idx="152">
                  <c:v>1225086.409785809</c:v>
                </c:pt>
                <c:pt idx="153">
                  <c:v>1222710.0239768657</c:v>
                </c:pt>
                <c:pt idx="154">
                  <c:v>1220338.8044304422</c:v>
                </c:pt>
                <c:pt idx="155">
                  <c:v>1217972.7696021223</c:v>
                </c:pt>
                <c:pt idx="156">
                  <c:v>1215611.9373527202</c:v>
                </c:pt>
                <c:pt idx="157">
                  <c:v>1213256.3249380325</c:v>
                </c:pt>
                <c:pt idx="158">
                  <c:v>1210905.9489991751</c:v>
                </c:pt>
                <c:pt idx="159">
                  <c:v>1208560.8255535155</c:v>
                </c:pt>
                <c:pt idx="160">
                  <c:v>1206220.9699861966</c:v>
                </c:pt>
                <c:pt idx="161">
                  <c:v>1203886.3970422612</c:v>
                </c:pt>
                <c:pt idx="162">
                  <c:v>1201557.120819371</c:v>
                </c:pt>
                <c:pt idx="163">
                  <c:v>1199233.1547611267</c:v>
                </c:pt>
                <c:pt idx="164">
                  <c:v>1196914.511650986</c:v>
                </c:pt>
                <c:pt idx="165">
                  <c:v>1194601.2036067785</c:v>
                </c:pt>
                <c:pt idx="166">
                  <c:v>1192293.2420758163</c:v>
                </c:pt>
                <c:pt idx="167">
                  <c:v>1189990.6378305985</c:v>
                </c:pt>
                <c:pt idx="168">
                  <c:v>1187693.4009651057</c:v>
                </c:pt>
                <c:pt idx="169">
                  <c:v>1185401.5408916799</c:v>
                </c:pt>
                <c:pt idx="170">
                  <c:v>1183115.0663384872</c:v>
                </c:pt>
                <c:pt idx="171">
                  <c:v>1180833.9853475562</c:v>
                </c:pt>
                <c:pt idx="172">
                  <c:v>1178558.305273388</c:v>
                </c:pt>
                <c:pt idx="173">
                  <c:v>1176288.0327821306</c:v>
                </c:pt>
                <c:pt idx="174">
                  <c:v>1174023.1738513098</c:v>
                </c:pt>
                <c:pt idx="175">
                  <c:v>1171763.7337701113</c:v>
                </c:pt>
                <c:pt idx="176">
                  <c:v>1169509.7171402033</c:v>
                </c:pt>
                <c:pt idx="177">
                  <c:v>1167261.1278770925</c:v>
                </c:pt>
                <c:pt idx="178">
                  <c:v>1165017.9692120051</c:v>
                </c:pt>
                <c:pt idx="179">
                  <c:v>1162780.243694281</c:v>
                </c:pt>
                <c:pt idx="180">
                  <c:v>1160547.953194272</c:v>
                </c:pt>
                <c:pt idx="181">
                  <c:v>1158462.8761861697</c:v>
                </c:pt>
                <c:pt idx="182">
                  <c:v>1156369.6200879565</c:v>
                </c:pt>
                <c:pt idx="183">
                  <c:v>1154267.6957571027</c:v>
                </c:pt>
                <c:pt idx="184">
                  <c:v>1152156.5971000758</c:v>
                </c:pt>
                <c:pt idx="185">
                  <c:v>1150035.8007409789</c:v>
                </c:pt>
                <c:pt idx="186">
                  <c:v>1147904.7657034791</c:v>
                </c:pt>
                <c:pt idx="187">
                  <c:v>1145762.9331080627</c:v>
                </c:pt>
                <c:pt idx="188">
                  <c:v>1143609.725886802</c:v>
                </c:pt>
                <c:pt idx="189">
                  <c:v>1141444.5485179536</c:v>
                </c:pt>
                <c:pt idx="190">
                  <c:v>1139266.7867828596</c:v>
                </c:pt>
                <c:pt idx="191">
                  <c:v>1137075.8075477709</c:v>
                </c:pt>
                <c:pt idx="192">
                  <c:v>1134870.9585733714</c:v>
                </c:pt>
                <c:pt idx="193">
                  <c:v>1132651.5683549345</c:v>
                </c:pt>
                <c:pt idx="194">
                  <c:v>1130416.9459962028</c:v>
                </c:pt>
                <c:pt idx="195">
                  <c:v>1128166.3811202517</c:v>
                </c:pt>
                <c:pt idx="196">
                  <c:v>1125899.1438207447</c:v>
                </c:pt>
                <c:pt idx="197">
                  <c:v>1123614.4846571637</c:v>
                </c:pt>
                <c:pt idx="198">
                  <c:v>1121311.6346977495</c:v>
                </c:pt>
                <c:pt idx="199">
                  <c:v>1118989.8056140461</c:v>
                </c:pt>
                <c:pt idx="200">
                  <c:v>1116648.189831096</c:v>
                </c:pt>
                <c:pt idx="201">
                  <c:v>1114285.9607374794</c:v>
                </c:pt>
                <c:pt idx="202">
                  <c:v>1111902.2729595297</c:v>
                </c:pt>
                <c:pt idx="203">
                  <c:v>1109496.2627041847</c:v>
                </c:pt>
                <c:pt idx="204">
                  <c:v>1107067.0481750532</c:v>
                </c:pt>
                <c:pt idx="205">
                  <c:v>1104613.7300663753</c:v>
                </c:pt>
                <c:pt idx="206">
                  <c:v>1102135.3921396448</c:v>
                </c:pt>
                <c:pt idx="207">
                  <c:v>1099631.1018877248</c:v>
                </c:pt>
                <c:pt idx="208">
                  <c:v>1097099.9112913329</c:v>
                </c:pt>
                <c:pt idx="209">
                  <c:v>1094540.8576727901</c:v>
                </c:pt>
                <c:pt idx="210">
                  <c:v>1091952.964651915</c:v>
                </c:pt>
                <c:pt idx="211">
                  <c:v>1089335.2432089034</c:v>
                </c:pt>
                <c:pt idx="212">
                  <c:v>1085323.6296036236</c:v>
                </c:pt>
                <c:pt idx="213">
                  <c:v>1081298.6193567938</c:v>
                </c:pt>
                <c:pt idx="214">
                  <c:v>1077259.9673174634</c:v>
                </c:pt>
                <c:pt idx="215">
                  <c:v>1073207.4486833995</c:v>
                </c:pt>
                <c:pt idx="216">
                  <c:v>1069140.8601040337</c:v>
                </c:pt>
                <c:pt idx="217">
                  <c:v>1065060.0207727202</c:v>
                </c:pt>
                <c:pt idx="218">
                  <c:v>1060964.7735040875</c:v>
                </c:pt>
                <c:pt idx="219">
                  <c:v>1056854.9857921137</c:v>
                </c:pt>
                <c:pt idx="220">
                  <c:v>1052730.5508444228</c:v>
                </c:pt>
                <c:pt idx="221">
                  <c:v>1048591.3885881784</c:v>
                </c:pt>
                <c:pt idx="222">
                  <c:v>1044437.4466428601</c:v>
                </c:pt>
                <c:pt idx="223">
                  <c:v>1040268.7012551263</c:v>
                </c:pt>
                <c:pt idx="224">
                  <c:v>1036085.1581909219</c:v>
                </c:pt>
                <c:pt idx="225">
                  <c:v>1031886.8535799572</c:v>
                </c:pt>
                <c:pt idx="226">
                  <c:v>1027673.854707688</c:v>
                </c:pt>
                <c:pt idx="227">
                  <c:v>1023446.2607499593</c:v>
                </c:pt>
                <c:pt idx="228">
                  <c:v>1019204.2034455289</c:v>
                </c:pt>
                <c:pt idx="229">
                  <c:v>1014947.8477017836</c:v>
                </c:pt>
                <c:pt idx="230">
                  <c:v>1010677.3921290832</c:v>
                </c:pt>
                <c:pt idx="231">
                  <c:v>1006393.0694993231</c:v>
                </c:pt>
                <c:pt idx="232">
                  <c:v>1002095.1471245</c:v>
                </c:pt>
                <c:pt idx="233">
                  <c:v>997783.92715128639</c:v>
                </c:pt>
                <c:pt idx="234">
                  <c:v>993459.74676788424</c:v>
                </c:pt>
                <c:pt idx="235">
                  <c:v>989122.97831971443</c:v>
                </c:pt>
                <c:pt idx="236">
                  <c:v>984774.02933082951</c:v>
                </c:pt>
                <c:pt idx="237">
                  <c:v>980413.34242829133</c:v>
                </c:pt>
                <c:pt idx="238">
                  <c:v>976041.39516714634</c:v>
                </c:pt>
                <c:pt idx="239">
                  <c:v>971658.69975404441</c:v>
                </c:pt>
                <c:pt idx="240">
                  <c:v>967265.802667993</c:v>
                </c:pt>
                <c:pt idx="241">
                  <c:v>962863.28417720553</c:v>
                </c:pt>
                <c:pt idx="242">
                  <c:v>958451.75775148999</c:v>
                </c:pt>
                <c:pt idx="243">
                  <c:v>955088.04136536329</c:v>
                </c:pt>
                <c:pt idx="244">
                  <c:v>951728.4035970947</c:v>
                </c:pt>
                <c:pt idx="245">
                  <c:v>948373.38700191095</c:v>
                </c:pt>
                <c:pt idx="246">
                  <c:v>945023.53408030968</c:v>
                </c:pt>
                <c:pt idx="247">
                  <c:v>941679.38655466738</c:v>
                </c:pt>
                <c:pt idx="248">
                  <c:v>938341.48464959033</c:v>
                </c:pt>
                <c:pt idx="249">
                  <c:v>935010.36637786264</c:v>
                </c:pt>
                <c:pt idx="250">
                  <c:v>931686.56683381158</c:v>
                </c:pt>
                <c:pt idx="251">
                  <c:v>928370.61749587511</c:v>
                </c:pt>
                <c:pt idx="252">
                  <c:v>925063.04554010811</c:v>
                </c:pt>
                <c:pt idx="253">
                  <c:v>921764.37316631223</c:v>
                </c:pt>
                <c:pt idx="254">
                  <c:v>918475.11693841417</c:v>
                </c:pt>
                <c:pt idx="255">
                  <c:v>915195.78714065242</c:v>
                </c:pt>
                <c:pt idx="256">
                  <c:v>911926.88715105818</c:v>
                </c:pt>
                <c:pt idx="257">
                  <c:v>908668.91283364175</c:v>
                </c:pt>
                <c:pt idx="258">
                  <c:v>905422.35195061169</c:v>
                </c:pt>
                <c:pt idx="259">
                  <c:v>902187.68359586922</c:v>
                </c:pt>
                <c:pt idx="260">
                  <c:v>898965.37765092833</c:v>
                </c:pt>
                <c:pt idx="261">
                  <c:v>895755.8942643198</c:v>
                </c:pt>
                <c:pt idx="262">
                  <c:v>892559.68335544108</c:v>
                </c:pt>
                <c:pt idx="263">
                  <c:v>889377.18414371565</c:v>
                </c:pt>
                <c:pt idx="264">
                  <c:v>886208.82470382471</c:v>
                </c:pt>
                <c:pt idx="265">
                  <c:v>883055.02154767467</c:v>
                </c:pt>
                <c:pt idx="266">
                  <c:v>879916.17923366209</c:v>
                </c:pt>
                <c:pt idx="267">
                  <c:v>876792.69000369497</c:v>
                </c:pt>
                <c:pt idx="268">
                  <c:v>873684.93344833271</c:v>
                </c:pt>
                <c:pt idx="269">
                  <c:v>870593.27620030253</c:v>
                </c:pt>
                <c:pt idx="270">
                  <c:v>867518.07165655645</c:v>
                </c:pt>
                <c:pt idx="271">
                  <c:v>864459.65972893627</c:v>
                </c:pt>
                <c:pt idx="272">
                  <c:v>861418.36662341747</c:v>
                </c:pt>
                <c:pt idx="273">
                  <c:v>858626.78432621423</c:v>
                </c:pt>
                <c:pt idx="274">
                  <c:v>855852.16105834499</c:v>
                </c:pt>
                <c:pt idx="275">
                  <c:v>853094.73861438944</c:v>
                </c:pt>
                <c:pt idx="276">
                  <c:v>850354.74564665766</c:v>
                </c:pt>
                <c:pt idx="277">
                  <c:v>847632.39764392411</c:v>
                </c:pt>
                <c:pt idx="278">
                  <c:v>844927.89693185012</c:v>
                </c:pt>
                <c:pt idx="279">
                  <c:v>842241.43269449996</c:v>
                </c:pt>
                <c:pt idx="280">
                  <c:v>839573.18101631431</c:v>
                </c:pt>
                <c:pt idx="281">
                  <c:v>836923.30494386773</c:v>
                </c:pt>
                <c:pt idx="282">
                  <c:v>834291.95456670143</c:v>
                </c:pt>
                <c:pt idx="283">
                  <c:v>831679.26711649587</c:v>
                </c:pt>
                <c:pt idx="284">
                  <c:v>829085.36708381574</c:v>
                </c:pt>
                <c:pt idx="285">
                  <c:v>826510.36635164486</c:v>
                </c:pt>
                <c:pt idx="286">
                  <c:v>823954.36434490292</c:v>
                </c:pt>
                <c:pt idx="287">
                  <c:v>821417.44819512602</c:v>
                </c:pt>
                <c:pt idx="288">
                  <c:v>818899.69291947922</c:v>
                </c:pt>
                <c:pt idx="289">
                  <c:v>816401.16161326133</c:v>
                </c:pt>
                <c:pt idx="290">
                  <c:v>813921.90565505868</c:v>
                </c:pt>
                <c:pt idx="291">
                  <c:v>811461.96492370148</c:v>
                </c:pt>
                <c:pt idx="292">
                  <c:v>809021.36802617903</c:v>
                </c:pt>
                <c:pt idx="293">
                  <c:v>806600.1325356731</c:v>
                </c:pt>
                <c:pt idx="294">
                  <c:v>804198.26523887774</c:v>
                </c:pt>
                <c:pt idx="295">
                  <c:v>801815.7623917805</c:v>
                </c:pt>
                <c:pt idx="296">
                  <c:v>799452.60998309392</c:v>
                </c:pt>
                <c:pt idx="297">
                  <c:v>797108.78400453948</c:v>
                </c:pt>
                <c:pt idx="298">
                  <c:v>794784.25072720146</c:v>
                </c:pt>
                <c:pt idx="299">
                  <c:v>792478.96698318678</c:v>
                </c:pt>
                <c:pt idx="300">
                  <c:v>790192.88045184629</c:v>
                </c:pt>
                <c:pt idx="301">
                  <c:v>787925.92994983227</c:v>
                </c:pt>
                <c:pt idx="302">
                  <c:v>785678.04572429194</c:v>
                </c:pt>
                <c:pt idx="303">
                  <c:v>783449.14974851604</c:v>
                </c:pt>
                <c:pt idx="304">
                  <c:v>779002.62626788358</c:v>
                </c:pt>
                <c:pt idx="305">
                  <c:v>774564.70131658902</c:v>
                </c:pt>
                <c:pt idx="306">
                  <c:v>770136.0333558768</c:v>
                </c:pt>
                <c:pt idx="307">
                  <c:v>765717.29427497333</c:v>
                </c:pt>
                <c:pt idx="308">
                  <c:v>761309.16784773592</c:v>
                </c:pt>
                <c:pt idx="309">
                  <c:v>756912.34814716945</c:v>
                </c:pt>
                <c:pt idx="310">
                  <c:v>752527.53792427038</c:v>
                </c:pt>
                <c:pt idx="311">
                  <c:v>748155.44695786422</c:v>
                </c:pt>
                <c:pt idx="312">
                  <c:v>743796.79038225801</c:v>
                </c:pt>
                <c:pt idx="313">
                  <c:v>739452.2869996446</c:v>
                </c:pt>
                <c:pt idx="314">
                  <c:v>735122.65758426173</c:v>
                </c:pt>
                <c:pt idx="315">
                  <c:v>730808.62318532495</c:v>
                </c:pt>
                <c:pt idx="316">
                  <c:v>726510.90343572863</c:v>
                </c:pt>
                <c:pt idx="317">
                  <c:v>722230.21487342892</c:v>
                </c:pt>
                <c:pt idx="318">
                  <c:v>717967.26928230457</c:v>
                </c:pt>
                <c:pt idx="319">
                  <c:v>713722.77205912338</c:v>
                </c:pt>
                <c:pt idx="320">
                  <c:v>709497.42061303428</c:v>
                </c:pt>
                <c:pt idx="321">
                  <c:v>705291.90280375653</c:v>
                </c:pt>
                <c:pt idx="322">
                  <c:v>701106.89542434993</c:v>
                </c:pt>
                <c:pt idx="323">
                  <c:v>696943.06273413182</c:v>
                </c:pt>
                <c:pt idx="324">
                  <c:v>692801.05504695082</c:v>
                </c:pt>
                <c:pt idx="325">
                  <c:v>688681.5073796513</c:v>
                </c:pt>
                <c:pt idx="326">
                  <c:v>684585.03816515591</c:v>
                </c:pt>
                <c:pt idx="327">
                  <c:v>680512.24803417118</c:v>
                </c:pt>
                <c:pt idx="328">
                  <c:v>676463.71866908064</c:v>
                </c:pt>
                <c:pt idx="329">
                  <c:v>672440.01173313812</c:v>
                </c:pt>
                <c:pt idx="330">
                  <c:v>668441.6678776124</c:v>
                </c:pt>
                <c:pt idx="331">
                  <c:v>664469.20582907123</c:v>
                </c:pt>
                <c:pt idx="332">
                  <c:v>660523.12155852711</c:v>
                </c:pt>
                <c:pt idx="333">
                  <c:v>656603.88753370522</c:v>
                </c:pt>
                <c:pt idx="334">
                  <c:v>652860.72016600089</c:v>
                </c:pt>
                <c:pt idx="335">
                  <c:v>649120.99357856635</c:v>
                </c:pt>
                <c:pt idx="336">
                  <c:v>645385.52673106291</c:v>
                </c:pt>
                <c:pt idx="337">
                  <c:v>641655.15230115072</c:v>
                </c:pt>
                <c:pt idx="338">
                  <c:v>637930.71475956438</c:v>
                </c:pt>
                <c:pt idx="339">
                  <c:v>634213.06840018171</c:v>
                </c:pt>
                <c:pt idx="340">
                  <c:v>630503.07533378876</c:v>
                </c:pt>
                <c:pt idx="341">
                  <c:v>626801.60345447122</c:v>
                </c:pt>
                <c:pt idx="342">
                  <c:v>623109.52438772004</c:v>
                </c:pt>
                <c:pt idx="343">
                  <c:v>619427.71142943134</c:v>
                </c:pt>
                <c:pt idx="344">
                  <c:v>615757.03748500161</c:v>
                </c:pt>
                <c:pt idx="345">
                  <c:v>612098.37301767501</c:v>
                </c:pt>
                <c:pt idx="346">
                  <c:v>608452.58401518478</c:v>
                </c:pt>
                <c:pt idx="347">
                  <c:v>604820.52998355275</c:v>
                </c:pt>
                <c:pt idx="348">
                  <c:v>601203.0619766647</c:v>
                </c:pt>
                <c:pt idx="349">
                  <c:v>597601.02066993981</c:v>
                </c:pt>
                <c:pt idx="350">
                  <c:v>594015.23448604753</c:v>
                </c:pt>
                <c:pt idx="351">
                  <c:v>590446.51778021338</c:v>
                </c:pt>
                <c:pt idx="352">
                  <c:v>586895.66909219383</c:v>
                </c:pt>
                <c:pt idx="353">
                  <c:v>583363.46947149478</c:v>
                </c:pt>
                <c:pt idx="354">
                  <c:v>579850.68088186695</c:v>
                </c:pt>
                <c:pt idx="355">
                  <c:v>576358.04469053773</c:v>
                </c:pt>
                <c:pt idx="356">
                  <c:v>572886.28024704056</c:v>
                </c:pt>
                <c:pt idx="357">
                  <c:v>569436.08355588454</c:v>
                </c:pt>
                <c:pt idx="358">
                  <c:v>566008.12604667514</c:v>
                </c:pt>
                <c:pt idx="359">
                  <c:v>562603.05344465759</c:v>
                </c:pt>
                <c:pt idx="360">
                  <c:v>559221.48474401562</c:v>
                </c:pt>
                <c:pt idx="361">
                  <c:v>555864.01128562179</c:v>
                </c:pt>
                <c:pt idx="362">
                  <c:v>552531.19594030816</c:v>
                </c:pt>
                <c:pt idx="363">
                  <c:v>549223.57239811798</c:v>
                </c:pt>
                <c:pt idx="364">
                  <c:v>545941.64456340391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A-4BEB-9665-B338159FA434}"/>
            </c:ext>
          </c:extLst>
        </c:ser>
        <c:ser>
          <c:idx val="1"/>
          <c:order val="1"/>
          <c:tx>
            <c:strRef>
              <c:f>Sheet1!$L$3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Sheet1!$L$4:$L$368</c:f>
              <c:numCache>
                <c:formatCode>General</c:formatCode>
                <c:ptCount val="365"/>
                <c:pt idx="0">
                  <c:v>12686</c:v>
                </c:pt>
                <c:pt idx="1">
                  <c:v>12636.590206091763</c:v>
                </c:pt>
                <c:pt idx="2">
                  <c:v>12582.884678189561</c:v>
                </c:pt>
                <c:pt idx="3">
                  <c:v>12524.956775212295</c:v>
                </c:pt>
                <c:pt idx="4">
                  <c:v>12462.883900930938</c:v>
                </c:pt>
                <c:pt idx="5">
                  <c:v>12396.747335048345</c:v>
                </c:pt>
                <c:pt idx="6">
                  <c:v>12326.632059017453</c:v>
                </c:pt>
                <c:pt idx="7">
                  <c:v>12252.626577118552</c:v>
                </c:pt>
                <c:pt idx="8">
                  <c:v>12174.822733320338</c:v>
                </c:pt>
                <c:pt idx="9">
                  <c:v>12093.315524451429</c:v>
                </c:pt>
                <c:pt idx="10">
                  <c:v>12008.202910209076</c:v>
                </c:pt>
                <c:pt idx="11">
                  <c:v>11919.585620529993</c:v>
                </c:pt>
                <c:pt idx="12">
                  <c:v>11827.566960844573</c:v>
                </c:pt>
                <c:pt idx="13">
                  <c:v>11732.252615730347</c:v>
                </c:pt>
                <c:pt idx="14">
                  <c:v>11633.750451473441</c:v>
                </c:pt>
                <c:pt idx="15">
                  <c:v>11532.170318038052</c:v>
                </c:pt>
                <c:pt idx="16">
                  <c:v>11427.623850933804</c:v>
                </c:pt>
                <c:pt idx="17">
                  <c:v>11320.224273459065</c:v>
                </c:pt>
                <c:pt idx="18">
                  <c:v>11210.086199785388</c:v>
                </c:pt>
                <c:pt idx="19">
                  <c:v>11097.325439333908</c:v>
                </c:pt>
                <c:pt idx="20">
                  <c:v>10982.058802879152</c:v>
                </c:pt>
                <c:pt idx="21">
                  <c:v>10864.403910799236</c:v>
                </c:pt>
                <c:pt idx="22">
                  <c:v>10744.479003874019</c:v>
                </c:pt>
                <c:pt idx="23">
                  <c:v>10622.402757014526</c:v>
                </c:pt>
                <c:pt idx="24">
                  <c:v>10498.294096287966</c:v>
                </c:pt>
                <c:pt idx="25">
                  <c:v>10372.272019583017</c:v>
                </c:pt>
                <c:pt idx="26">
                  <c:v>10244.4554212399</c:v>
                </c:pt>
                <c:pt idx="27">
                  <c:v>10114.962920949132</c:v>
                </c:pt>
                <c:pt idx="28">
                  <c:v>9983.9126972019167</c:v>
                </c:pt>
                <c:pt idx="29">
                  <c:v>9851.4223255539146</c:v>
                </c:pt>
                <c:pt idx="30">
                  <c:v>9717.6086219428216</c:v>
                </c:pt>
                <c:pt idx="31">
                  <c:v>9628.6101438778514</c:v>
                </c:pt>
                <c:pt idx="32">
                  <c:v>9535.7263431894007</c:v>
                </c:pt>
                <c:pt idx="33">
                  <c:v>9439.1111718954435</c:v>
                </c:pt>
                <c:pt idx="34">
                  <c:v>9338.9217342761385</c:v>
                </c:pt>
                <c:pt idx="35">
                  <c:v>9235.317885844086</c:v>
                </c:pt>
                <c:pt idx="36">
                  <c:v>9128.4618345065046</c:v>
                </c:pt>
                <c:pt idx="37">
                  <c:v>9018.517745186673</c:v>
                </c:pt>
                <c:pt idx="38">
                  <c:v>8905.651349118576</c:v>
                </c:pt>
                <c:pt idx="39">
                  <c:v>8790.0295589714606</c:v>
                </c:pt>
                <c:pt idx="40">
                  <c:v>8671.8200909004699</c:v>
                </c:pt>
                <c:pt idx="41">
                  <c:v>8551.191094556043</c:v>
                </c:pt>
                <c:pt idx="42">
                  <c:v>8428.3107920189177</c:v>
                </c:pt>
                <c:pt idx="43">
                  <c:v>8303.3471265597018</c:v>
                </c:pt>
                <c:pt idx="44">
                  <c:v>8176.4674220526367</c:v>
                </c:pt>
                <c:pt idx="45">
                  <c:v>8047.8380538027168</c:v>
                </c:pt>
                <c:pt idx="46">
                  <c:v>7917.6241314741856</c:v>
                </c:pt>
                <c:pt idx="47">
                  <c:v>7785.9891947371107</c:v>
                </c:pt>
                <c:pt idx="48">
                  <c:v>7653.0949221774235</c:v>
                </c:pt>
                <c:pt idx="49">
                  <c:v>7519.1008539451032</c:v>
                </c:pt>
                <c:pt idx="50">
                  <c:v>7384.164128545237</c:v>
                </c:pt>
                <c:pt idx="51">
                  <c:v>7248.4392341079556</c:v>
                </c:pt>
                <c:pt idx="52">
                  <c:v>7112.0777744059233</c:v>
                </c:pt>
                <c:pt idx="53">
                  <c:v>6975.2282498225077</c:v>
                </c:pt>
                <c:pt idx="54">
                  <c:v>6838.0358534101906</c:v>
                </c:pt>
                <c:pt idx="55">
                  <c:v>6700.6422821173765</c:v>
                </c:pt>
                <c:pt idx="56">
                  <c:v>6563.1855632028364</c:v>
                </c:pt>
                <c:pt idx="57">
                  <c:v>6425.7998958006092</c:v>
                </c:pt>
                <c:pt idx="58">
                  <c:v>6288.6155075445558</c:v>
                </c:pt>
                <c:pt idx="59">
                  <c:v>6357.0218714706243</c:v>
                </c:pt>
                <c:pt idx="60">
                  <c:v>6421.1560969555985</c:v>
                </c:pt>
                <c:pt idx="61">
                  <c:v>6480.9041740754383</c:v>
                </c:pt>
                <c:pt idx="62">
                  <c:v>6536.1621174474913</c:v>
                </c:pt>
                <c:pt idx="63">
                  <c:v>6586.8362610441927</c:v>
                </c:pt>
                <c:pt idx="64">
                  <c:v>6632.8435106066772</c:v>
                </c:pt>
                <c:pt idx="65">
                  <c:v>6674.1115528289174</c:v>
                </c:pt>
                <c:pt idx="66">
                  <c:v>6710.5790207404507</c:v>
                </c:pt>
                <c:pt idx="67">
                  <c:v>6742.1956149732596</c:v>
                </c:pt>
                <c:pt idx="68">
                  <c:v>6768.9221808539933</c:v>
                </c:pt>
                <c:pt idx="69">
                  <c:v>6790.7307415144023</c:v>
                </c:pt>
                <c:pt idx="70">
                  <c:v>6807.6044874588679</c:v>
                </c:pt>
                <c:pt idx="71">
                  <c:v>6819.5377232663413</c:v>
                </c:pt>
                <c:pt idx="72">
                  <c:v>6826.5357723333027</c:v>
                </c:pt>
                <c:pt idx="73">
                  <c:v>6828.6148407828314</c:v>
                </c:pt>
                <c:pt idx="74">
                  <c:v>6825.8018418712736</c:v>
                </c:pt>
                <c:pt idx="75">
                  <c:v>6818.1341824169131</c:v>
                </c:pt>
                <c:pt idx="76">
                  <c:v>6805.6595129534217</c:v>
                </c:pt>
                <c:pt idx="77">
                  <c:v>6788.4354434737552</c:v>
                </c:pt>
                <c:pt idx="78">
                  <c:v>6766.5292267767163</c:v>
                </c:pt>
                <c:pt idx="79">
                  <c:v>6740.0174115580512</c:v>
                </c:pt>
                <c:pt idx="80">
                  <c:v>6708.9854675002061</c:v>
                </c:pt>
                <c:pt idx="81">
                  <c:v>6673.5273847094113</c:v>
                </c:pt>
                <c:pt idx="82">
                  <c:v>6633.7452499255251</c:v>
                </c:pt>
                <c:pt idx="83">
                  <c:v>6589.7488019890261</c:v>
                </c:pt>
                <c:pt idx="84">
                  <c:v>6541.6549690908605</c:v>
                </c:pt>
                <c:pt idx="85">
                  <c:v>6489.5873903549182</c:v>
                </c:pt>
                <c:pt idx="86">
                  <c:v>6433.6759243100814</c:v>
                </c:pt>
                <c:pt idx="87">
                  <c:v>6374.0561467997522</c:v>
                </c:pt>
                <c:pt idx="88">
                  <c:v>6310.8688408520857</c:v>
                </c:pt>
                <c:pt idx="89">
                  <c:v>6244.2594809947404</c:v>
                </c:pt>
                <c:pt idx="90">
                  <c:v>6256.4203209809257</c:v>
                </c:pt>
                <c:pt idx="91">
                  <c:v>6263.0902971155647</c:v>
                </c:pt>
                <c:pt idx="92">
                  <c:v>6264.2942509918057</c:v>
                </c:pt>
                <c:pt idx="93">
                  <c:v>6260.0713469782004</c:v>
                </c:pt>
                <c:pt idx="94">
                  <c:v>6250.4747124749447</c:v>
                </c:pt>
                <c:pt idx="95">
                  <c:v>6235.5710214044002</c:v>
                </c:pt>
                <c:pt idx="96">
                  <c:v>6215.4400246128716</c:v>
                </c:pt>
                <c:pt idx="97">
                  <c:v>6190.1740311095655</c:v>
                </c:pt>
                <c:pt idx="98">
                  <c:v>6159.8773442789652</c:v>
                </c:pt>
                <c:pt idx="99">
                  <c:v>6124.6656573742148</c:v>
                </c:pt>
                <c:pt idx="100">
                  <c:v>6084.6654127312868</c:v>
                </c:pt>
                <c:pt idx="101">
                  <c:v>6040.0131292371852</c:v>
                </c:pt>
                <c:pt idx="102">
                  <c:v>5990.8547026408814</c:v>
                </c:pt>
                <c:pt idx="103">
                  <c:v>5937.3446833142152</c:v>
                </c:pt>
                <c:pt idx="104">
                  <c:v>5879.6455360529662</c:v>
                </c:pt>
                <c:pt idx="105">
                  <c:v>5817.9268864575006</c:v>
                </c:pt>
                <c:pt idx="106">
                  <c:v>5752.364758349685</c:v>
                </c:pt>
                <c:pt idx="107">
                  <c:v>5683.1408065703899</c:v>
                </c:pt>
                <c:pt idx="108">
                  <c:v>5610.4415493621855</c:v>
                </c:pt>
                <c:pt idx="109">
                  <c:v>5534.4576043772913</c:v>
                </c:pt>
                <c:pt idx="110">
                  <c:v>5455.3829321640997</c:v>
                </c:pt>
                <c:pt idx="111">
                  <c:v>5373.4140907793289</c:v>
                </c:pt>
                <c:pt idx="112">
                  <c:v>5288.7495049497902</c:v>
                </c:pt>
                <c:pt idx="113">
                  <c:v>5201.5887529706697</c:v>
                </c:pt>
                <c:pt idx="114">
                  <c:v>5112.1318742787644</c:v>
                </c:pt>
                <c:pt idx="115">
                  <c:v>5020.5787003820005</c:v>
                </c:pt>
                <c:pt idx="116">
                  <c:v>4927.1282115633467</c:v>
                </c:pt>
                <c:pt idx="117">
                  <c:v>4831.977921510429</c:v>
                </c:pt>
                <c:pt idx="118">
                  <c:v>4735.3232917541027</c:v>
                </c:pt>
                <c:pt idx="119">
                  <c:v>4637.3571775321689</c:v>
                </c:pt>
                <c:pt idx="120">
                  <c:v>4518.2684780265708</c:v>
                </c:pt>
                <c:pt idx="121">
                  <c:v>4400.8866072568089</c:v>
                </c:pt>
                <c:pt idx="122">
                  <c:v>4285.2453221315163</c:v>
                </c:pt>
                <c:pt idx="123">
                  <c:v>4171.3752958157911</c:v>
                </c:pt>
                <c:pt idx="124">
                  <c:v>4059.3041860929829</c:v>
                </c:pt>
                <c:pt idx="125">
                  <c:v>3949.0567066568169</c:v>
                </c:pt>
                <c:pt idx="126">
                  <c:v>3840.6547010388854</c:v>
                </c:pt>
                <c:pt idx="127">
                  <c:v>3734.1172188839346</c:v>
                </c:pt>
                <c:pt idx="128">
                  <c:v>3629.460594293213</c:v>
                </c:pt>
                <c:pt idx="129">
                  <c:v>3526.6985259645007</c:v>
                </c:pt>
                <c:pt idx="130">
                  <c:v>3425.8421588661299</c:v>
                </c:pt>
                <c:pt idx="131">
                  <c:v>3326.9001671913848</c:v>
                </c:pt>
                <c:pt idx="132">
                  <c:v>3229.8788383489969</c:v>
                </c:pt>
                <c:pt idx="133">
                  <c:v>3134.7821577550362</c:v>
                </c:pt>
                <c:pt idx="134">
                  <c:v>3041.6118942012558</c:v>
                </c:pt>
                <c:pt idx="135">
                  <c:v>2950.3676855848516</c:v>
                </c:pt>
                <c:pt idx="136">
                  <c:v>2861.0471247946007</c:v>
                </c:pt>
                <c:pt idx="137">
                  <c:v>2773.6458455583956</c:v>
                </c:pt>
                <c:pt idx="138">
                  <c:v>2688.1576080672694</c:v>
                </c:pt>
                <c:pt idx="139">
                  <c:v>2604.574384201062</c:v>
                </c:pt>
                <c:pt idx="140">
                  <c:v>2522.8864421908893</c:v>
                </c:pt>
                <c:pt idx="141">
                  <c:v>2443.0824305635001</c:v>
                </c:pt>
                <c:pt idx="142">
                  <c:v>2365.1494612224328</c:v>
                </c:pt>
                <c:pt idx="143">
                  <c:v>2289.0731915305569</c:v>
                </c:pt>
                <c:pt idx="144">
                  <c:v>2214.8379052681175</c:v>
                </c:pt>
                <c:pt idx="145">
                  <c:v>2142.4265923497542</c:v>
                </c:pt>
                <c:pt idx="146">
                  <c:v>2071.8210271930975</c:v>
                </c:pt>
                <c:pt idx="147">
                  <c:v>2003.0018456404935</c:v>
                </c:pt>
                <c:pt idx="148">
                  <c:v>1935.9486203441061</c:v>
                </c:pt>
                <c:pt idx="149">
                  <c:v>1870.6399345330983</c:v>
                </c:pt>
                <c:pt idx="150">
                  <c:v>1807.0534540897997</c:v>
                </c:pt>
                <c:pt idx="151">
                  <c:v>1801.9385505663604</c:v>
                </c:pt>
                <c:pt idx="152">
                  <c:v>1796.498337894606</c:v>
                </c:pt>
                <c:pt idx="153">
                  <c:v>1790.7365163732729</c:v>
                </c:pt>
                <c:pt idx="154">
                  <c:v>1784.6569535342082</c:v>
                </c:pt>
                <c:pt idx="155">
                  <c:v>1778.2636798610863</c:v>
                </c:pt>
                <c:pt idx="156">
                  <c:v>1771.5608843779187</c:v>
                </c:pt>
                <c:pt idx="157">
                  <c:v>1764.5529101141328</c:v>
                </c:pt>
                <c:pt idx="158">
                  <c:v>1757.2442494531151</c:v>
                </c:pt>
                <c:pt idx="159">
                  <c:v>1749.6395393712055</c:v>
                </c:pt>
                <c:pt idx="160">
                  <c:v>1741.7435565742139</c:v>
                </c:pt>
                <c:pt idx="161">
                  <c:v>1733.5612125386024</c:v>
                </c:pt>
                <c:pt idx="162">
                  <c:v>1725.0975484645303</c:v>
                </c:pt>
                <c:pt idx="163">
                  <c:v>1716.3577301480047</c:v>
                </c:pt>
                <c:pt idx="164">
                  <c:v>1707.3470427794041</c:v>
                </c:pt>
                <c:pt idx="165">
                  <c:v>1698.0708856756648</c:v>
                </c:pt>
                <c:pt idx="166">
                  <c:v>1688.5347669534194</c:v>
                </c:pt>
                <c:pt idx="167">
                  <c:v>1678.7442981503666</c:v>
                </c:pt>
                <c:pt idx="168">
                  <c:v>1668.7051888021308</c:v>
                </c:pt>
                <c:pt idx="169">
                  <c:v>1658.4232409818367</c:v>
                </c:pt>
                <c:pt idx="170">
                  <c:v>1647.9043438095719</c:v>
                </c:pt>
                <c:pt idx="171">
                  <c:v>1637.154467938861</c:v>
                </c:pt>
                <c:pt idx="172">
                  <c:v>1626.1796600271941</c:v>
                </c:pt>
                <c:pt idx="173">
                  <c:v>1614.9860371975817</c:v>
                </c:pt>
                <c:pt idx="174">
                  <c:v>1603.579781498009</c:v>
                </c:pt>
                <c:pt idx="175">
                  <c:v>1591.9671343655652</c:v>
                </c:pt>
                <c:pt idx="176">
                  <c:v>1580.1543911019087</c:v>
                </c:pt>
                <c:pt idx="177">
                  <c:v>1568.1478953666087</c:v>
                </c:pt>
                <c:pt idx="178">
                  <c:v>1555.9540336947744</c:v>
                </c:pt>
                <c:pt idx="179">
                  <c:v>1543.5792300452392</c:v>
                </c:pt>
                <c:pt idx="180">
                  <c:v>1531.0299403854297</c:v>
                </c:pt>
                <c:pt idx="181">
                  <c:v>1609.8838469809202</c:v>
                </c:pt>
                <c:pt idx="182">
                  <c:v>1692.3608269832255</c:v>
                </c:pt>
                <c:pt idx="183">
                  <c:v>1778.6007756502522</c:v>
                </c:pt>
                <c:pt idx="184">
                  <c:v>1868.7473307618975</c:v>
                </c:pt>
                <c:pt idx="185">
                  <c:v>1962.9478567954088</c:v>
                </c:pt>
                <c:pt idx="186">
                  <c:v>2061.3534179244243</c:v>
                </c:pt>
                <c:pt idx="187">
                  <c:v>2164.1187388964481</c:v>
                </c:pt>
                <c:pt idx="188">
                  <c:v>2271.4021527964965</c:v>
                </c:pt>
                <c:pt idx="189">
                  <c:v>2383.3655346575156</c:v>
                </c:pt>
                <c:pt idx="190">
                  <c:v>2500.174219831194</c:v>
                </c:pt>
                <c:pt idx="191">
                  <c:v>2621.9969059863606</c:v>
                </c:pt>
                <c:pt idx="192">
                  <c:v>2749.005537556664</c:v>
                </c:pt>
                <c:pt idx="193">
                  <c:v>2881.3751714151294</c:v>
                </c:pt>
                <c:pt idx="194">
                  <c:v>3019.2838225110063</c:v>
                </c:pt>
                <c:pt idx="195">
                  <c:v>3162.9122881646203</c:v>
                </c:pt>
                <c:pt idx="196">
                  <c:v>3312.4439496793757</c:v>
                </c:pt>
                <c:pt idx="197">
                  <c:v>3468.0645498973086</c:v>
                </c:pt>
                <c:pt idx="198">
                  <c:v>3629.9619452964666</c:v>
                </c:pt>
                <c:pt idx="199">
                  <c:v>3798.3258312057028</c:v>
                </c:pt>
                <c:pt idx="200">
                  <c:v>3973.3474386961798</c:v>
                </c:pt>
                <c:pt idx="201">
                  <c:v>4155.219201699947</c:v>
                </c:pt>
                <c:pt idx="202">
                  <c:v>4344.1343929054938</c:v>
                </c:pt>
                <c:pt idx="203">
                  <c:v>4540.2867269892995</c:v>
                </c:pt>
                <c:pt idx="204">
                  <c:v>4743.8699297623934</c:v>
                </c:pt>
                <c:pt idx="205">
                  <c:v>4955.0772718430326</c:v>
                </c:pt>
                <c:pt idx="206">
                  <c:v>5174.1010655122236</c:v>
                </c:pt>
                <c:pt idx="207">
                  <c:v>5401.1321234693751</c:v>
                </c:pt>
                <c:pt idx="208">
                  <c:v>5636.3591782823733</c:v>
                </c:pt>
                <c:pt idx="209">
                  <c:v>5879.9682614213089</c:v>
                </c:pt>
                <c:pt idx="210">
                  <c:v>6132.1420408796057</c:v>
                </c:pt>
                <c:pt idx="211">
                  <c:v>6393.0591165218875</c:v>
                </c:pt>
                <c:pt idx="212">
                  <c:v>6605.3230571450995</c:v>
                </c:pt>
                <c:pt idx="213">
                  <c:v>6821.3945025574185</c:v>
                </c:pt>
                <c:pt idx="214">
                  <c:v>7041.1767154393565</c:v>
                </c:pt>
                <c:pt idx="215">
                  <c:v>7264.5629946416257</c:v>
                </c:pt>
                <c:pt idx="216">
                  <c:v>7491.4365095925959</c:v>
                </c:pt>
                <c:pt idx="217">
                  <c:v>7721.6701587532034</c:v>
                </c:pt>
                <c:pt idx="218">
                  <c:v>7955.1264539645235</c:v>
                </c:pt>
                <c:pt idx="219">
                  <c:v>8191.6574325113916</c:v>
                </c:pt>
                <c:pt idx="220">
                  <c:v>8431.1045986904046</c:v>
                </c:pt>
                <c:pt idx="221">
                  <c:v>8673.2988966216908</c:v>
                </c:pt>
                <c:pt idx="222">
                  <c:v>8918.0607159803512</c:v>
                </c:pt>
                <c:pt idx="223">
                  <c:v>9165.1999322448519</c:v>
                </c:pt>
                <c:pt idx="224">
                  <c:v>9414.5159829654967</c:v>
                </c:pt>
                <c:pt idx="225">
                  <c:v>9665.7979814460541</c:v>
                </c:pt>
                <c:pt idx="226">
                  <c:v>9918.8248691054414</c:v>
                </c:pt>
                <c:pt idx="227">
                  <c:v>10173.365607644066</c:v>
                </c:pt>
                <c:pt idx="228">
                  <c:v>10429.179411981075</c:v>
                </c:pt>
                <c:pt idx="229">
                  <c:v>10686.016024754595</c:v>
                </c:pt>
                <c:pt idx="230">
                  <c:v>10943.616032987597</c:v>
                </c:pt>
                <c:pt idx="231">
                  <c:v>11201.711227317823</c:v>
                </c:pt>
                <c:pt idx="232">
                  <c:v>11460.025003972249</c:v>
                </c:pt>
                <c:pt idx="233">
                  <c:v>11718.27280943563</c:v>
                </c:pt>
                <c:pt idx="234">
                  <c:v>11976.162627520316</c:v>
                </c:pt>
                <c:pt idx="235">
                  <c:v>12233.395508291878</c:v>
                </c:pt>
                <c:pt idx="236">
                  <c:v>12489.666138043965</c:v>
                </c:pt>
                <c:pt idx="237">
                  <c:v>12744.663449247999</c:v>
                </c:pt>
                <c:pt idx="238">
                  <c:v>12998.071269130662</c:v>
                </c:pt>
                <c:pt idx="239">
                  <c:v>13249.569005257075</c:v>
                </c:pt>
                <c:pt idx="240">
                  <c:v>13498.832366222052</c:v>
                </c:pt>
                <c:pt idx="241">
                  <c:v>13745.534115278568</c:v>
                </c:pt>
                <c:pt idx="242">
                  <c:v>13989.344854463985</c:v>
                </c:pt>
                <c:pt idx="243">
                  <c:v>14063.003131725114</c:v>
                </c:pt>
                <c:pt idx="244">
                  <c:v>14131.853920837664</c:v>
                </c:pt>
                <c:pt idx="245">
                  <c:v>14195.827367858417</c:v>
                </c:pt>
                <c:pt idx="246">
                  <c:v>14254.859588450325</c:v>
                </c:pt>
                <c:pt idx="247">
                  <c:v>14308.892794422289</c:v>
                </c:pt>
                <c:pt idx="248">
                  <c:v>14357.875405298526</c:v>
                </c:pt>
                <c:pt idx="249">
                  <c:v>14401.762144554637</c:v>
                </c:pt>
                <c:pt idx="250">
                  <c:v>14440.514120220885</c:v>
                </c:pt>
                <c:pt idx="251">
                  <c:v>14474.098889617911</c:v>
                </c:pt>
                <c:pt idx="252">
                  <c:v>14502.490508055982</c:v>
                </c:pt>
                <c:pt idx="253">
                  <c:v>14525.669561395167</c:v>
                </c:pt>
                <c:pt idx="254">
                  <c:v>14543.623182430465</c:v>
                </c:pt>
                <c:pt idx="255">
                  <c:v>14556.345051132223</c:v>
                </c:pt>
                <c:pt idx="256">
                  <c:v>14563.835378837826</c:v>
                </c:pt>
                <c:pt idx="257">
                  <c:v>14566.100876555376</c:v>
                </c:pt>
                <c:pt idx="258">
                  <c:v>14563.154707603164</c:v>
                </c:pt>
                <c:pt idx="259">
                  <c:v>14555.016424870259</c:v>
                </c:pt>
                <c:pt idx="260">
                  <c:v>14541.711893042731</c:v>
                </c:pt>
                <c:pt idx="261">
                  <c:v>14523.273196196762</c:v>
                </c:pt>
                <c:pt idx="262">
                  <c:v>14499.738531213892</c:v>
                </c:pt>
                <c:pt idx="263">
                  <c:v>14471.152087524517</c:v>
                </c:pt>
                <c:pt idx="264">
                  <c:v>14437.563913733229</c:v>
                </c:pt>
                <c:pt idx="265">
                  <c:v>14399.029771723634</c:v>
                </c:pt>
                <c:pt idx="266">
                  <c:v>14355.61097888041</c:v>
                </c:pt>
                <c:pt idx="267">
                  <c:v>14307.374239102704</c:v>
                </c:pt>
                <c:pt idx="268">
                  <c:v>14254.391463315145</c:v>
                </c:pt>
                <c:pt idx="269">
                  <c:v>14196.739580210837</c:v>
                </c:pt>
                <c:pt idx="270">
                  <c:v>14134.500337984562</c:v>
                </c:pt>
                <c:pt idx="271">
                  <c:v>14067.760097833976</c:v>
                </c:pt>
                <c:pt idx="272">
                  <c:v>13996.609620021934</c:v>
                </c:pt>
                <c:pt idx="273">
                  <c:v>13912.129324678051</c:v>
                </c:pt>
                <c:pt idx="274">
                  <c:v>13823.922576527199</c:v>
                </c:pt>
                <c:pt idx="275">
                  <c:v>13732.09115986122</c:v>
                </c:pt>
                <c:pt idx="276">
                  <c:v>13636.739408396319</c:v>
                </c:pt>
                <c:pt idx="277">
                  <c:v>13537.97399412087</c:v>
                </c:pt>
                <c:pt idx="278">
                  <c:v>13435.903715607092</c:v>
                </c:pt>
                <c:pt idx="279">
                  <c:v>13330.639286397251</c:v>
                </c:pt>
                <c:pt idx="280">
                  <c:v>13222.293124056752</c:v>
                </c:pt>
                <c:pt idx="281">
                  <c:v>13110.979140466214</c:v>
                </c:pt>
                <c:pt idx="282">
                  <c:v>12996.812533902425</c:v>
                </c:pt>
                <c:pt idx="283">
                  <c:v>12879.909583434386</c:v>
                </c:pt>
                <c:pt idx="284">
                  <c:v>12760.387446135444</c:v>
                </c:pt>
                <c:pt idx="285">
                  <c:v>12638.363957586036</c:v>
                </c:pt>
                <c:pt idx="286">
                  <c:v>12513.957436114162</c:v>
                </c:pt>
                <c:pt idx="287">
                  <c:v>12387.286491192273</c:v>
                </c:pt>
                <c:pt idx="288">
                  <c:v>12258.46983638028</c:v>
                </c:pt>
                <c:pt idx="289">
                  <c:v>12127.626107174847</c:v>
                </c:pt>
                <c:pt idx="290">
                  <c:v>11994.873684095277</c:v>
                </c:pt>
                <c:pt idx="291">
                  <c:v>11860.330521306312</c:v>
                </c:pt>
                <c:pt idx="292">
                  <c:v>11724.113981048153</c:v>
                </c:pt>
                <c:pt idx="293">
                  <c:v>11586.340674114168</c:v>
                </c:pt>
                <c:pt idx="294">
                  <c:v>11447.126306587261</c:v>
                </c:pt>
                <c:pt idx="295">
                  <c:v>11306.585533016681</c:v>
                </c:pt>
                <c:pt idx="296">
                  <c:v>11164.831816188647</c:v>
                </c:pt>
                <c:pt idx="297">
                  <c:v>11021.977293616137</c:v>
                </c:pt>
                <c:pt idx="298">
                  <c:v>10878.132650846259</c:v>
                </c:pt>
                <c:pt idx="299">
                  <c:v>10733.407001657271</c:v>
                </c:pt>
                <c:pt idx="300">
                  <c:v>10587.907775192141</c:v>
                </c:pt>
                <c:pt idx="301">
                  <c:v>10441.740610051249</c:v>
                </c:pt>
                <c:pt idx="302">
                  <c:v>10295.009255343697</c:v>
                </c:pt>
                <c:pt idx="303">
                  <c:v>10147.815478674685</c:v>
                </c:pt>
                <c:pt idx="304">
                  <c:v>10294.067511775515</c:v>
                </c:pt>
                <c:pt idx="305">
                  <c:v>10435.742852676143</c:v>
                </c:pt>
                <c:pt idx="306">
                  <c:v>10572.604650367171</c:v>
                </c:pt>
                <c:pt idx="307">
                  <c:v>10704.423549620024</c:v>
                </c:pt>
                <c:pt idx="308">
                  <c:v>10830.978428448427</c:v>
                </c:pt>
                <c:pt idx="309">
                  <c:v>10952.057110428064</c:v>
                </c:pt>
                <c:pt idx="310">
                  <c:v>11067.457048105018</c:v>
                </c:pt>
                <c:pt idx="311">
                  <c:v>11176.985973869541</c:v>
                </c:pt>
                <c:pt idx="312">
                  <c:v>11280.462514847013</c:v>
                </c:pt>
                <c:pt idx="313">
                  <c:v>11377.716768561073</c:v>
                </c:pt>
                <c:pt idx="314">
                  <c:v>11468.590836353429</c:v>
                </c:pt>
                <c:pt idx="315">
                  <c:v>11552.939311798455</c:v>
                </c:pt>
                <c:pt idx="316">
                  <c:v>11630.629721626367</c:v>
                </c:pt>
                <c:pt idx="317">
                  <c:v>11701.54291696385</c:v>
                </c:pt>
                <c:pt idx="318">
                  <c:v>11765.573413012744</c:v>
                </c:pt>
                <c:pt idx="319">
                  <c:v>11822.62967561285</c:v>
                </c:pt>
                <c:pt idx="320">
                  <c:v>11872.634353471127</c:v>
                </c:pt>
                <c:pt idx="321">
                  <c:v>11915.524455183036</c:v>
                </c:pt>
                <c:pt idx="322">
                  <c:v>11951.251470519734</c:v>
                </c:pt>
                <c:pt idx="323">
                  <c:v>11979.781435803454</c:v>
                </c:pt>
                <c:pt idx="324">
                  <c:v>12001.094943540003</c:v>
                </c:pt>
                <c:pt idx="325">
                  <c:v>12015.187096818263</c:v>
                </c:pt>
                <c:pt idx="326">
                  <c:v>12022.067409319112</c:v>
                </c:pt>
                <c:pt idx="327">
                  <c:v>12021.759652097277</c:v>
                </c:pt>
                <c:pt idx="328">
                  <c:v>12014.301648606523</c:v>
                </c:pt>
                <c:pt idx="329">
                  <c:v>11999.745019728796</c:v>
                </c:pt>
                <c:pt idx="330">
                  <c:v>11978.154880839222</c:v>
                </c:pt>
                <c:pt idx="331">
                  <c:v>11949.609493189104</c:v>
                </c:pt>
                <c:pt idx="332">
                  <c:v>11914.199872116622</c:v>
                </c:pt>
                <c:pt idx="333">
                  <c:v>11872.029354798307</c:v>
                </c:pt>
                <c:pt idx="334">
                  <c:v>12030.803966456753</c:v>
                </c:pt>
                <c:pt idx="335">
                  <c:v>12183.926236137204</c:v>
                </c:pt>
                <c:pt idx="336">
                  <c:v>12331.129876459261</c:v>
                </c:pt>
                <c:pt idx="337">
                  <c:v>12472.158520848641</c:v>
                </c:pt>
                <c:pt idx="338">
                  <c:v>12606.766606297757</c:v>
                </c:pt>
                <c:pt idx="339">
                  <c:v>12734.720219885327</c:v>
                </c:pt>
                <c:pt idx="340">
                  <c:v>12855.797904139295</c:v>
                </c:pt>
                <c:pt idx="341">
                  <c:v>12969.791416561897</c:v>
                </c:pt>
                <c:pt idx="342">
                  <c:v>13076.506438912249</c:v>
                </c:pt>
                <c:pt idx="343">
                  <c:v>13175.763232158108</c:v>
                </c:pt>
                <c:pt idx="344">
                  <c:v>13267.397233361127</c:v>
                </c:pt>
                <c:pt idx="345">
                  <c:v>13351.259591145899</c:v>
                </c:pt>
                <c:pt idx="346">
                  <c:v>13427.217636818068</c:v>
                </c:pt>
                <c:pt idx="347">
                  <c:v>13495.155288636874</c:v>
                </c:pt>
                <c:pt idx="348">
                  <c:v>13554.973387207765</c:v>
                </c:pt>
                <c:pt idx="349">
                  <c:v>13606.589960436617</c:v>
                </c:pt>
                <c:pt idx="350">
                  <c:v>13649.940416973466</c:v>
                </c:pt>
                <c:pt idx="351">
                  <c:v>13684.977667565532</c:v>
                </c:pt>
                <c:pt idx="352">
                  <c:v>13711.672174231453</c:v>
                </c:pt>
                <c:pt idx="353">
                  <c:v>13730.011927656251</c:v>
                </c:pt>
                <c:pt idx="354">
                  <c:v>13740.002353684371</c:v>
                </c:pt>
                <c:pt idx="355">
                  <c:v>13741.666150251827</c:v>
                </c:pt>
                <c:pt idx="356">
                  <c:v>13735.043056543282</c:v>
                </c:pt>
                <c:pt idx="357">
                  <c:v>13720.189556581881</c:v>
                </c:pt>
                <c:pt idx="358">
                  <c:v>13697.178519855046</c:v>
                </c:pt>
                <c:pt idx="359">
                  <c:v>13666.098781944655</c:v>
                </c:pt>
                <c:pt idx="360">
                  <c:v>13627.054668462682</c:v>
                </c:pt>
                <c:pt idx="361">
                  <c:v>13580.165465890483</c:v>
                </c:pt>
                <c:pt idx="362">
                  <c:v>13525.564843179951</c:v>
                </c:pt>
                <c:pt idx="363">
                  <c:v>13463.400228196249</c:v>
                </c:pt>
                <c:pt idx="364">
                  <c:v>13393.832143263695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0A-4BEB-9665-B338159FA434}"/>
            </c:ext>
          </c:extLst>
        </c:ser>
        <c:ser>
          <c:idx val="2"/>
          <c:order val="2"/>
          <c:tx>
            <c:strRef>
              <c:f>Sheet1!$M$3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Sheet1!$M$4:$M$368</c:f>
              <c:numCache>
                <c:formatCode>General</c:formatCode>
                <c:ptCount val="365"/>
                <c:pt idx="0">
                  <c:v>270294</c:v>
                </c:pt>
                <c:pt idx="1">
                  <c:v>271562.59999999998</c:v>
                </c:pt>
                <c:pt idx="2">
                  <c:v>272826.25902060914</c:v>
                </c:pt>
                <c:pt idx="3">
                  <c:v>274084.54748842807</c:v>
                </c:pt>
                <c:pt idx="4">
                  <c:v>275337.04316594929</c:v>
                </c:pt>
                <c:pt idx="5">
                  <c:v>276583.33155604237</c:v>
                </c:pt>
                <c:pt idx="6">
                  <c:v>277823.00628954719</c:v>
                </c:pt>
                <c:pt idx="7">
                  <c:v>279055.66949544894</c:v>
                </c:pt>
                <c:pt idx="8">
                  <c:v>280280.9321531608</c:v>
                </c:pt>
                <c:pt idx="9">
                  <c:v>281498.41442649282</c:v>
                </c:pt>
                <c:pt idx="10">
                  <c:v>282707.74597893795</c:v>
                </c:pt>
                <c:pt idx="11">
                  <c:v>283908.56626995886</c:v>
                </c:pt>
                <c:pt idx="12">
                  <c:v>285100.52483201184</c:v>
                </c:pt>
                <c:pt idx="13">
                  <c:v>286283.2815280963</c:v>
                </c:pt>
                <c:pt idx="14">
                  <c:v>287456.50678966934</c:v>
                </c:pt>
                <c:pt idx="15">
                  <c:v>288619.88183481665</c:v>
                </c:pt>
                <c:pt idx="16">
                  <c:v>289773.09886662045</c:v>
                </c:pt>
                <c:pt idx="17">
                  <c:v>290915.86125171382</c:v>
                </c:pt>
                <c:pt idx="18">
                  <c:v>292047.88367905974</c:v>
                </c:pt>
                <c:pt idx="19">
                  <c:v>293168.8922990383</c:v>
                </c:pt>
                <c:pt idx="20">
                  <c:v>294278.62484297168</c:v>
                </c:pt>
                <c:pt idx="21">
                  <c:v>295376.8307232596</c:v>
                </c:pt>
                <c:pt idx="22">
                  <c:v>296463.27111433953</c:v>
                </c:pt>
                <c:pt idx="23">
                  <c:v>297537.71901472693</c:v>
                </c:pt>
                <c:pt idx="24">
                  <c:v>298599.95929042838</c:v>
                </c:pt>
                <c:pt idx="25">
                  <c:v>299649.78870005719</c:v>
                </c:pt>
                <c:pt idx="26">
                  <c:v>300687.0159020155</c:v>
                </c:pt>
                <c:pt idx="27">
                  <c:v>301711.46144413948</c:v>
                </c:pt>
                <c:pt idx="28">
                  <c:v>302722.95773623441</c:v>
                </c:pt>
                <c:pt idx="29">
                  <c:v>303721.34900595463</c:v>
                </c:pt>
                <c:pt idx="30">
                  <c:v>304706.49123851</c:v>
                </c:pt>
                <c:pt idx="31">
                  <c:v>305678.2521007043</c:v>
                </c:pt>
                <c:pt idx="32">
                  <c:v>306641.1131150921</c:v>
                </c:pt>
                <c:pt idx="33">
                  <c:v>307594.68574941106</c:v>
                </c:pt>
                <c:pt idx="34">
                  <c:v>308538.59686660062</c:v>
                </c:pt>
                <c:pt idx="35">
                  <c:v>309472.48904002825</c:v>
                </c:pt>
                <c:pt idx="36">
                  <c:v>310396.02082861267</c:v>
                </c:pt>
                <c:pt idx="37">
                  <c:v>311308.86701206333</c:v>
                </c:pt>
                <c:pt idx="38">
                  <c:v>312210.718786582</c:v>
                </c:pt>
                <c:pt idx="39">
                  <c:v>313101.28392149386</c:v>
                </c:pt>
                <c:pt idx="40">
                  <c:v>313980.28687739099</c:v>
                </c:pt>
                <c:pt idx="41">
                  <c:v>314847.46888648102</c:v>
                </c:pt>
                <c:pt idx="42">
                  <c:v>315702.58799593663</c:v>
                </c:pt>
                <c:pt idx="43">
                  <c:v>316545.41907513852</c:v>
                </c:pt>
                <c:pt idx="44">
                  <c:v>317375.7537877945</c:v>
                </c:pt>
                <c:pt idx="45">
                  <c:v>318193.40052999975</c:v>
                </c:pt>
                <c:pt idx="46">
                  <c:v>318998.18433538004</c:v>
                </c:pt>
                <c:pt idx="47">
                  <c:v>319789.94674852747</c:v>
                </c:pt>
                <c:pt idx="48">
                  <c:v>320568.54566800117</c:v>
                </c:pt>
                <c:pt idx="49">
                  <c:v>321333.8551602189</c:v>
                </c:pt>
                <c:pt idx="50">
                  <c:v>322085.76524561341</c:v>
                </c:pt>
                <c:pt idx="51">
                  <c:v>322824.18165846792</c:v>
                </c:pt>
                <c:pt idx="52">
                  <c:v>323549.02558187873</c:v>
                </c:pt>
                <c:pt idx="53">
                  <c:v>324260.23335931933</c:v>
                </c:pt>
                <c:pt idx="54">
                  <c:v>324957.75618430157</c:v>
                </c:pt>
                <c:pt idx="55">
                  <c:v>325641.5597696426</c:v>
                </c:pt>
                <c:pt idx="56">
                  <c:v>326311.62399785436</c:v>
                </c:pt>
                <c:pt idx="57">
                  <c:v>326967.94255417463</c:v>
                </c:pt>
                <c:pt idx="58">
                  <c:v>327610.52254375472</c:v>
                </c:pt>
                <c:pt idx="59">
                  <c:v>328239.38409450918</c:v>
                </c:pt>
                <c:pt idx="60">
                  <c:v>328875.08628165623</c:v>
                </c:pt>
                <c:pt idx="61">
                  <c:v>329517.20189135178</c:v>
                </c:pt>
                <c:pt idx="62">
                  <c:v>330165.29230875935</c:v>
                </c:pt>
                <c:pt idx="63">
                  <c:v>330818.90852050408</c:v>
                </c:pt>
                <c:pt idx="64">
                  <c:v>331477.59214660851</c:v>
                </c:pt>
                <c:pt idx="65">
                  <c:v>332140.8764976692</c:v>
                </c:pt>
                <c:pt idx="66">
                  <c:v>332808.28765295207</c:v>
                </c:pt>
                <c:pt idx="67">
                  <c:v>333479.34555502614</c:v>
                </c:pt>
                <c:pt idx="68">
                  <c:v>334153.56511652347</c:v>
                </c:pt>
                <c:pt idx="69">
                  <c:v>334830.45733460889</c:v>
                </c:pt>
                <c:pt idx="70">
                  <c:v>335509.5304087603</c:v>
                </c:pt>
                <c:pt idx="71">
                  <c:v>336190.29085750616</c:v>
                </c:pt>
                <c:pt idx="72">
                  <c:v>336872.2446298328</c:v>
                </c:pt>
                <c:pt idx="73">
                  <c:v>337554.89820706611</c:v>
                </c:pt>
                <c:pt idx="74">
                  <c:v>338237.7596911444</c:v>
                </c:pt>
                <c:pt idx="75">
                  <c:v>338920.3398753315</c:v>
                </c:pt>
                <c:pt idx="76">
                  <c:v>339602.15329357318</c:v>
                </c:pt>
                <c:pt idx="77">
                  <c:v>340282.71924486849</c:v>
                </c:pt>
                <c:pt idx="78">
                  <c:v>340961.56278921588</c:v>
                </c:pt>
                <c:pt idx="79">
                  <c:v>341638.21571189357</c:v>
                </c:pt>
                <c:pt idx="80">
                  <c:v>342312.21745304938</c:v>
                </c:pt>
                <c:pt idx="81">
                  <c:v>342983.1159997994</c:v>
                </c:pt>
                <c:pt idx="82">
                  <c:v>343650.46873827034</c:v>
                </c:pt>
                <c:pt idx="83">
                  <c:v>344313.84326326288</c:v>
                </c:pt>
                <c:pt idx="84">
                  <c:v>344972.81814346177</c:v>
                </c:pt>
                <c:pt idx="85">
                  <c:v>345626.98364037083</c:v>
                </c:pt>
                <c:pt idx="86">
                  <c:v>346275.9423794063</c:v>
                </c:pt>
                <c:pt idx="87">
                  <c:v>346919.30997183733</c:v>
                </c:pt>
                <c:pt idx="88">
                  <c:v>347556.7155865173</c:v>
                </c:pt>
                <c:pt idx="89">
                  <c:v>348187.8024706025</c:v>
                </c:pt>
                <c:pt idx="90">
                  <c:v>348812.22841870197</c:v>
                </c:pt>
                <c:pt idx="91">
                  <c:v>349437.87045080005</c:v>
                </c:pt>
                <c:pt idx="92">
                  <c:v>350064.17948051164</c:v>
                </c:pt>
                <c:pt idx="93">
                  <c:v>350690.6089056108</c:v>
                </c:pt>
                <c:pt idx="94">
                  <c:v>351316.61604030861</c:v>
                </c:pt>
                <c:pt idx="95">
                  <c:v>351941.66351155611</c:v>
                </c:pt>
                <c:pt idx="96">
                  <c:v>352565.22061369655</c:v>
                </c:pt>
                <c:pt idx="97">
                  <c:v>353186.76461615786</c:v>
                </c:pt>
                <c:pt idx="98">
                  <c:v>353805.78201926884</c:v>
                </c:pt>
                <c:pt idx="99">
                  <c:v>354421.76975369675</c:v>
                </c:pt>
                <c:pt idx="100">
                  <c:v>355034.23631943419</c:v>
                </c:pt>
                <c:pt idx="101">
                  <c:v>355642.7028607073</c:v>
                </c:pt>
                <c:pt idx="102">
                  <c:v>356246.70417363103</c:v>
                </c:pt>
                <c:pt idx="103">
                  <c:v>356845.78964389511</c:v>
                </c:pt>
                <c:pt idx="104">
                  <c:v>357439.52411222656</c:v>
                </c:pt>
                <c:pt idx="105">
                  <c:v>358027.48866583186</c:v>
                </c:pt>
                <c:pt idx="106">
                  <c:v>358609.28135447763</c:v>
                </c:pt>
                <c:pt idx="107">
                  <c:v>359184.5178303126</c:v>
                </c:pt>
                <c:pt idx="108">
                  <c:v>359752.83191096963</c:v>
                </c:pt>
                <c:pt idx="109">
                  <c:v>360313.87606590585</c:v>
                </c:pt>
                <c:pt idx="110">
                  <c:v>360867.3218263436</c:v>
                </c:pt>
                <c:pt idx="111">
                  <c:v>361412.86011956003</c:v>
                </c:pt>
                <c:pt idx="112">
                  <c:v>361950.20152863796</c:v>
                </c:pt>
                <c:pt idx="113">
                  <c:v>362479.07647913293</c:v>
                </c:pt>
                <c:pt idx="114">
                  <c:v>362999.23535442998</c:v>
                </c:pt>
                <c:pt idx="115">
                  <c:v>363510.44854185788</c:v>
                </c:pt>
                <c:pt idx="116">
                  <c:v>364012.50641189609</c:v>
                </c:pt>
                <c:pt idx="117">
                  <c:v>364505.2192330524</c:v>
                </c:pt>
                <c:pt idx="118">
                  <c:v>364988.41702520347</c:v>
                </c:pt>
                <c:pt idx="119">
                  <c:v>365461.94935437886</c:v>
                </c:pt>
                <c:pt idx="120">
                  <c:v>365925.6850721321</c:v>
                </c:pt>
                <c:pt idx="121">
                  <c:v>366377.51191993477</c:v>
                </c:pt>
                <c:pt idx="122">
                  <c:v>366817.60058066045</c:v>
                </c:pt>
                <c:pt idx="123">
                  <c:v>367246.12511287362</c:v>
                </c:pt>
                <c:pt idx="124">
                  <c:v>367663.26264245517</c:v>
                </c:pt>
                <c:pt idx="125">
                  <c:v>368069.19306106446</c:v>
                </c:pt>
                <c:pt idx="126">
                  <c:v>368464.09873173013</c:v>
                </c:pt>
                <c:pt idx="127">
                  <c:v>368848.16420183401</c:v>
                </c:pt>
                <c:pt idx="128">
                  <c:v>369221.57592372241</c:v>
                </c:pt>
                <c:pt idx="129">
                  <c:v>369584.52198315173</c:v>
                </c:pt>
                <c:pt idx="130">
                  <c:v>369937.19183574821</c:v>
                </c:pt>
                <c:pt idx="131">
                  <c:v>370279.77605163481</c:v>
                </c:pt>
                <c:pt idx="132">
                  <c:v>370612.46606835397</c:v>
                </c:pt>
                <c:pt idx="133">
                  <c:v>370935.45395218889</c:v>
                </c:pt>
                <c:pt idx="134">
                  <c:v>371248.93216796441</c:v>
                </c:pt>
                <c:pt idx="135">
                  <c:v>371553.09335738455</c:v>
                </c:pt>
                <c:pt idx="136">
                  <c:v>371848.13012594305</c:v>
                </c:pt>
                <c:pt idx="137">
                  <c:v>372134.2348384225</c:v>
                </c:pt>
                <c:pt idx="138">
                  <c:v>372411.59942297835</c:v>
                </c:pt>
                <c:pt idx="139">
                  <c:v>372680.41518378508</c:v>
                </c:pt>
                <c:pt idx="140">
                  <c:v>372940.87262220518</c:v>
                </c:pt>
                <c:pt idx="141">
                  <c:v>373193.16126642429</c:v>
                </c:pt>
                <c:pt idx="142">
                  <c:v>373437.46950948064</c:v>
                </c:pt>
                <c:pt idx="143">
                  <c:v>373673.98445560288</c:v>
                </c:pt>
                <c:pt idx="144">
                  <c:v>373902.89177475596</c:v>
                </c:pt>
                <c:pt idx="145">
                  <c:v>374124.37556528277</c:v>
                </c:pt>
                <c:pt idx="146">
                  <c:v>374338.61822451773</c:v>
                </c:pt>
                <c:pt idx="147">
                  <c:v>374545.80032723706</c:v>
                </c:pt>
                <c:pt idx="148">
                  <c:v>374746.10051180108</c:v>
                </c:pt>
                <c:pt idx="149">
                  <c:v>374939.69537383551</c:v>
                </c:pt>
                <c:pt idx="150">
                  <c:v>375126.75936728879</c:v>
                </c:pt>
                <c:pt idx="151">
                  <c:v>375307.46471269778</c:v>
                </c:pt>
                <c:pt idx="152">
                  <c:v>375487.65856775444</c:v>
                </c:pt>
                <c:pt idx="153">
                  <c:v>375667.30840154388</c:v>
                </c:pt>
                <c:pt idx="154">
                  <c:v>375846.38205318118</c:v>
                </c:pt>
                <c:pt idx="155">
                  <c:v>376024.84774853458</c:v>
                </c:pt>
                <c:pt idx="156">
                  <c:v>376202.67411652068</c:v>
                </c:pt>
                <c:pt idx="157">
                  <c:v>376379.83020495845</c:v>
                </c:pt>
                <c:pt idx="158">
                  <c:v>376556.28549596987</c:v>
                </c:pt>
                <c:pt idx="159">
                  <c:v>376732.00992091518</c:v>
                </c:pt>
                <c:pt idx="160">
                  <c:v>376906.97387485229</c:v>
                </c:pt>
                <c:pt idx="161">
                  <c:v>377081.14823050972</c:v>
                </c:pt>
                <c:pt idx="162">
                  <c:v>377254.50435176358</c:v>
                </c:pt>
                <c:pt idx="163">
                  <c:v>377427.01410661003</c:v>
                </c:pt>
                <c:pt idx="164">
                  <c:v>377598.64987962483</c:v>
                </c:pt>
                <c:pt idx="165">
                  <c:v>377769.38458390278</c:v>
                </c:pt>
                <c:pt idx="166">
                  <c:v>377939.19167247036</c:v>
                </c:pt>
                <c:pt idx="167">
                  <c:v>378108.04514916573</c:v>
                </c:pt>
                <c:pt idx="168">
                  <c:v>378275.91957898077</c:v>
                </c:pt>
                <c:pt idx="169">
                  <c:v>378442.79009786097</c:v>
                </c:pt>
                <c:pt idx="170">
                  <c:v>378608.63242195913</c:v>
                </c:pt>
                <c:pt idx="171">
                  <c:v>378773.42285634007</c:v>
                </c:pt>
                <c:pt idx="172">
                  <c:v>378937.13830313395</c:v>
                </c:pt>
                <c:pt idx="173">
                  <c:v>379099.75626913668</c:v>
                </c:pt>
                <c:pt idx="174">
                  <c:v>379261.25487285643</c:v>
                </c:pt>
                <c:pt idx="175">
                  <c:v>379421.61285100621</c:v>
                </c:pt>
                <c:pt idx="176">
                  <c:v>379580.80956444278</c:v>
                </c:pt>
                <c:pt idx="177">
                  <c:v>379738.82500355295</c:v>
                </c:pt>
                <c:pt idx="178">
                  <c:v>379895.63979308959</c:v>
                </c:pt>
                <c:pt idx="179">
                  <c:v>380051.23519645905</c:v>
                </c:pt>
                <c:pt idx="180">
                  <c:v>380205.59311946359</c:v>
                </c:pt>
                <c:pt idx="181">
                  <c:v>380358.69611350214</c:v>
                </c:pt>
                <c:pt idx="182">
                  <c:v>380519.68449820025</c:v>
                </c:pt>
                <c:pt idx="183">
                  <c:v>380688.92058089859</c:v>
                </c:pt>
                <c:pt idx="184">
                  <c:v>380866.7806584636</c:v>
                </c:pt>
                <c:pt idx="185">
                  <c:v>381053.6553915398</c:v>
                </c:pt>
                <c:pt idx="186">
                  <c:v>381249.95017721935</c:v>
                </c:pt>
                <c:pt idx="187">
                  <c:v>381456.08551901177</c:v>
                </c:pt>
                <c:pt idx="188">
                  <c:v>381672.49739290139</c:v>
                </c:pt>
                <c:pt idx="189">
                  <c:v>381899.63760818104</c:v>
                </c:pt>
                <c:pt idx="190">
                  <c:v>382137.97416164679</c:v>
                </c:pt>
                <c:pt idx="191">
                  <c:v>382387.99158362992</c:v>
                </c:pt>
                <c:pt idx="192">
                  <c:v>382650.19127422856</c:v>
                </c:pt>
                <c:pt idx="193">
                  <c:v>382925.09182798426</c:v>
                </c:pt>
                <c:pt idx="194">
                  <c:v>383213.22934512579</c:v>
                </c:pt>
                <c:pt idx="195">
                  <c:v>383515.15772737691</c:v>
                </c:pt>
                <c:pt idx="196">
                  <c:v>383831.44895619334</c:v>
                </c:pt>
                <c:pt idx="197">
                  <c:v>384162.69335116126</c:v>
                </c:pt>
                <c:pt idx="198">
                  <c:v>384509.49980615097</c:v>
                </c:pt>
                <c:pt idx="199">
                  <c:v>384872.49600068061</c:v>
                </c:pt>
                <c:pt idx="200">
                  <c:v>385252.32858380117</c:v>
                </c:pt>
                <c:pt idx="201">
                  <c:v>385649.66332767077</c:v>
                </c:pt>
                <c:pt idx="202">
                  <c:v>386065.18524784077</c:v>
                </c:pt>
                <c:pt idx="203">
                  <c:v>386499.59868713131</c:v>
                </c:pt>
                <c:pt idx="204">
                  <c:v>386953.62735983025</c:v>
                </c:pt>
                <c:pt idx="205">
                  <c:v>387428.01435280649</c:v>
                </c:pt>
                <c:pt idx="206">
                  <c:v>387923.52207999077</c:v>
                </c:pt>
                <c:pt idx="207">
                  <c:v>388440.93218654202</c:v>
                </c:pt>
                <c:pt idx="208">
                  <c:v>388981.04539888893</c:v>
                </c:pt>
                <c:pt idx="209">
                  <c:v>389544.68131671718</c:v>
                </c:pt>
                <c:pt idx="210">
                  <c:v>390132.67814285931</c:v>
                </c:pt>
                <c:pt idx="211">
                  <c:v>390745.89234694728</c:v>
                </c:pt>
                <c:pt idx="212">
                  <c:v>391385.19825859944</c:v>
                </c:pt>
                <c:pt idx="213">
                  <c:v>392045.73056431394</c:v>
                </c:pt>
                <c:pt idx="214">
                  <c:v>392727.87001456966</c:v>
                </c:pt>
                <c:pt idx="215">
                  <c:v>393431.98768611357</c:v>
                </c:pt>
                <c:pt idx="216">
                  <c:v>394158.44398557773</c:v>
                </c:pt>
                <c:pt idx="217">
                  <c:v>394907.58763653698</c:v>
                </c:pt>
                <c:pt idx="218">
                  <c:v>395679.75465241232</c:v>
                </c:pt>
                <c:pt idx="219">
                  <c:v>396475.26729780878</c:v>
                </c:pt>
                <c:pt idx="220">
                  <c:v>397294.43304105994</c:v>
                </c:pt>
                <c:pt idx="221">
                  <c:v>398137.54350092896</c:v>
                </c:pt>
                <c:pt idx="222">
                  <c:v>399004.87339059112</c:v>
                </c:pt>
                <c:pt idx="223">
                  <c:v>399896.67946218915</c:v>
                </c:pt>
                <c:pt idx="224">
                  <c:v>400813.19945541362</c:v>
                </c:pt>
                <c:pt idx="225">
                  <c:v>401754.65105371014</c:v>
                </c:pt>
                <c:pt idx="226">
                  <c:v>402721.23085185472</c:v>
                </c:pt>
                <c:pt idx="227">
                  <c:v>403713.11333876528</c:v>
                </c:pt>
                <c:pt idx="228">
                  <c:v>404730.44989952969</c:v>
                </c:pt>
                <c:pt idx="229">
                  <c:v>405773.36784072779</c:v>
                </c:pt>
                <c:pt idx="230">
                  <c:v>406841.96944320324</c:v>
                </c:pt>
                <c:pt idx="231">
                  <c:v>407936.33104650199</c:v>
                </c:pt>
                <c:pt idx="232">
                  <c:v>409056.50216923375</c:v>
                </c:pt>
                <c:pt idx="233">
                  <c:v>410202.50466963096</c:v>
                </c:pt>
                <c:pt idx="234">
                  <c:v>411374.33195057453</c:v>
                </c:pt>
                <c:pt idx="235">
                  <c:v>412571.94821332657</c:v>
                </c:pt>
                <c:pt idx="236">
                  <c:v>413795.28776415577</c:v>
                </c:pt>
                <c:pt idx="237">
                  <c:v>415044.25437796017</c:v>
                </c:pt>
                <c:pt idx="238">
                  <c:v>416318.72072288499</c:v>
                </c:pt>
                <c:pt idx="239">
                  <c:v>417618.52784979803</c:v>
                </c:pt>
                <c:pt idx="240">
                  <c:v>418943.48475032375</c:v>
                </c:pt>
                <c:pt idx="241">
                  <c:v>420293.36798694596</c:v>
                </c:pt>
                <c:pt idx="242">
                  <c:v>421667.92139847379</c:v>
                </c:pt>
                <c:pt idx="243">
                  <c:v>423066.85588392016</c:v>
                </c:pt>
                <c:pt idx="244">
                  <c:v>424473.15619709267</c:v>
                </c:pt>
                <c:pt idx="245">
                  <c:v>425886.34158917645</c:v>
                </c:pt>
                <c:pt idx="246">
                  <c:v>427305.92432596226</c:v>
                </c:pt>
                <c:pt idx="247">
                  <c:v>428731.41028480727</c:v>
                </c:pt>
                <c:pt idx="248">
                  <c:v>430162.29956424952</c:v>
                </c:pt>
                <c:pt idx="249">
                  <c:v>431598.08710477938</c:v>
                </c:pt>
                <c:pt idx="250">
                  <c:v>433038.26331923483</c:v>
                </c:pt>
                <c:pt idx="251">
                  <c:v>434482.31473125692</c:v>
                </c:pt>
                <c:pt idx="252">
                  <c:v>435929.72462021874</c:v>
                </c:pt>
                <c:pt idx="253">
                  <c:v>437379.97367102432</c:v>
                </c:pt>
                <c:pt idx="254">
                  <c:v>438832.54062716383</c:v>
                </c:pt>
                <c:pt idx="255">
                  <c:v>440286.90294540691</c:v>
                </c:pt>
                <c:pt idx="256">
                  <c:v>441742.53745052015</c:v>
                </c:pt>
                <c:pt idx="257">
                  <c:v>443198.9209884039</c:v>
                </c:pt>
                <c:pt idx="258">
                  <c:v>444655.53107605944</c:v>
                </c:pt>
                <c:pt idx="259">
                  <c:v>446111.84654681978</c:v>
                </c:pt>
                <c:pt idx="260">
                  <c:v>447567.34818930679</c:v>
                </c:pt>
                <c:pt idx="261">
                  <c:v>449021.51937861106</c:v>
                </c:pt>
                <c:pt idx="262">
                  <c:v>450473.84669823071</c:v>
                </c:pt>
                <c:pt idx="263">
                  <c:v>451923.82055135211</c:v>
                </c:pt>
                <c:pt idx="264">
                  <c:v>453370.93576010456</c:v>
                </c:pt>
                <c:pt idx="265">
                  <c:v>454814.69215147791</c:v>
                </c:pt>
                <c:pt idx="266">
                  <c:v>456254.59512865025</c:v>
                </c:pt>
                <c:pt idx="267">
                  <c:v>457690.1562265383</c:v>
                </c:pt>
                <c:pt idx="268">
                  <c:v>459120.89365044859</c:v>
                </c:pt>
                <c:pt idx="269">
                  <c:v>460546.3327967801</c:v>
                </c:pt>
                <c:pt idx="270">
                  <c:v>461966.0067548012</c:v>
                </c:pt>
                <c:pt idx="271">
                  <c:v>463379.45678859967</c:v>
                </c:pt>
                <c:pt idx="272">
                  <c:v>464786.23279838305</c:v>
                </c:pt>
                <c:pt idx="273">
                  <c:v>466185.89376038522</c:v>
                </c:pt>
                <c:pt idx="274">
                  <c:v>467577.10669285303</c:v>
                </c:pt>
                <c:pt idx="275">
                  <c:v>468959.49895050575</c:v>
                </c:pt>
                <c:pt idx="276">
                  <c:v>470332.70806649188</c:v>
                </c:pt>
                <c:pt idx="277">
                  <c:v>471696.38200733153</c:v>
                </c:pt>
                <c:pt idx="278">
                  <c:v>473050.17940674361</c:v>
                </c:pt>
                <c:pt idx="279">
                  <c:v>474393.76977830433</c:v>
                </c:pt>
                <c:pt idx="280">
                  <c:v>475726.83370694407</c:v>
                </c:pt>
                <c:pt idx="281">
                  <c:v>477049.06301934976</c:v>
                </c:pt>
                <c:pt idx="282">
                  <c:v>478360.16093339637</c:v>
                </c:pt>
                <c:pt idx="283">
                  <c:v>479659.84218678664</c:v>
                </c:pt>
                <c:pt idx="284">
                  <c:v>480947.83314513008</c:v>
                </c:pt>
                <c:pt idx="285">
                  <c:v>482223.8718897436</c:v>
                </c:pt>
                <c:pt idx="286">
                  <c:v>483487.70828550222</c:v>
                </c:pt>
                <c:pt idx="287">
                  <c:v>484739.10402911366</c:v>
                </c:pt>
                <c:pt idx="288">
                  <c:v>485977.83267823287</c:v>
                </c:pt>
                <c:pt idx="289">
                  <c:v>487203.67966187088</c:v>
                </c:pt>
                <c:pt idx="290">
                  <c:v>488416.44227258838</c:v>
                </c:pt>
                <c:pt idx="291">
                  <c:v>489615.9296409979</c:v>
                </c:pt>
                <c:pt idx="292">
                  <c:v>490801.9626931285</c:v>
                </c:pt>
                <c:pt idx="293">
                  <c:v>491974.3740912333</c:v>
                </c:pt>
                <c:pt idx="294">
                  <c:v>493133.00815864472</c:v>
                </c:pt>
                <c:pt idx="295">
                  <c:v>494277.72078930342</c:v>
                </c:pt>
                <c:pt idx="296">
                  <c:v>495408.37934260507</c:v>
                </c:pt>
                <c:pt idx="297">
                  <c:v>496524.86252422392</c:v>
                </c:pt>
                <c:pt idx="298">
                  <c:v>497627.06025358551</c:v>
                </c:pt>
                <c:pt idx="299">
                  <c:v>498714.87351867015</c:v>
                </c:pt>
                <c:pt idx="300">
                  <c:v>499788.21421883587</c:v>
                </c:pt>
                <c:pt idx="301">
                  <c:v>500847.0049963551</c:v>
                </c:pt>
                <c:pt idx="302">
                  <c:v>501891.17905736022</c:v>
                </c:pt>
                <c:pt idx="303">
                  <c:v>502920.67998289457</c:v>
                </c:pt>
                <c:pt idx="304">
                  <c:v>503935.46153076203</c:v>
                </c:pt>
                <c:pt idx="305">
                  <c:v>504964.86828193959</c:v>
                </c:pt>
                <c:pt idx="306">
                  <c:v>506008.44256720721</c:v>
                </c:pt>
                <c:pt idx="307">
                  <c:v>507065.70303224394</c:v>
                </c:pt>
                <c:pt idx="308">
                  <c:v>508136.14538720594</c:v>
                </c:pt>
                <c:pt idx="309">
                  <c:v>509219.24323005078</c:v>
                </c:pt>
                <c:pt idx="310">
                  <c:v>510314.44894109358</c:v>
                </c:pt>
                <c:pt idx="311">
                  <c:v>511421.19464590406</c:v>
                </c:pt>
                <c:pt idx="312">
                  <c:v>512538.89324329101</c:v>
                </c:pt>
                <c:pt idx="313">
                  <c:v>513666.93949477572</c:v>
                </c:pt>
                <c:pt idx="314">
                  <c:v>514804.71117163182</c:v>
                </c:pt>
                <c:pt idx="315">
                  <c:v>515951.57025526714</c:v>
                </c:pt>
                <c:pt idx="316">
                  <c:v>517106.864186447</c:v>
                </c:pt>
                <c:pt idx="317">
                  <c:v>518269.92715860961</c:v>
                </c:pt>
                <c:pt idx="318">
                  <c:v>519440.081450306</c:v>
                </c:pt>
                <c:pt idx="319">
                  <c:v>520616.63879160729</c:v>
                </c:pt>
                <c:pt idx="320">
                  <c:v>521798.9017591686</c:v>
                </c:pt>
                <c:pt idx="321">
                  <c:v>522986.16519451572</c:v>
                </c:pt>
                <c:pt idx="322">
                  <c:v>524177.71764003404</c:v>
                </c:pt>
                <c:pt idx="323">
                  <c:v>525372.84278708603</c:v>
                </c:pt>
                <c:pt idx="324">
                  <c:v>526570.82093066641</c:v>
                </c:pt>
                <c:pt idx="325">
                  <c:v>527770.9304250204</c:v>
                </c:pt>
                <c:pt idx="326">
                  <c:v>528972.44913470221</c:v>
                </c:pt>
                <c:pt idx="327">
                  <c:v>530174.65587563417</c:v>
                </c:pt>
                <c:pt idx="328">
                  <c:v>531376.83184084389</c:v>
                </c:pt>
                <c:pt idx="329">
                  <c:v>532578.26200570457</c:v>
                </c:pt>
                <c:pt idx="330">
                  <c:v>533778.23650767747</c:v>
                </c:pt>
                <c:pt idx="331">
                  <c:v>534976.05199576134</c:v>
                </c:pt>
                <c:pt idx="332">
                  <c:v>536171.01294508029</c:v>
                </c:pt>
                <c:pt idx="333">
                  <c:v>537362.43293229199</c:v>
                </c:pt>
                <c:pt idx="334">
                  <c:v>538549.63586777181</c:v>
                </c:pt>
                <c:pt idx="335">
                  <c:v>539752.71626441751</c:v>
                </c:pt>
                <c:pt idx="336">
                  <c:v>540971.10888803122</c:v>
                </c:pt>
                <c:pt idx="337">
                  <c:v>542204.22187567712</c:v>
                </c:pt>
                <c:pt idx="338">
                  <c:v>543451.43772776204</c:v>
                </c:pt>
                <c:pt idx="339">
                  <c:v>544712.11438839184</c:v>
                </c:pt>
                <c:pt idx="340">
                  <c:v>545985.58641038032</c:v>
                </c:pt>
                <c:pt idx="341">
                  <c:v>547271.16620079428</c:v>
                </c:pt>
                <c:pt idx="342">
                  <c:v>548568.14534245047</c:v>
                </c:pt>
                <c:pt idx="343">
                  <c:v>549875.79598634166</c:v>
                </c:pt>
                <c:pt idx="344">
                  <c:v>551193.37230955751</c:v>
                </c:pt>
                <c:pt idx="345">
                  <c:v>552520.11203289358</c:v>
                </c:pt>
                <c:pt idx="346">
                  <c:v>553855.23799200822</c:v>
                </c:pt>
                <c:pt idx="347">
                  <c:v>555197.95975569007</c:v>
                </c:pt>
                <c:pt idx="348">
                  <c:v>556547.47528455372</c:v>
                </c:pt>
                <c:pt idx="349">
                  <c:v>557902.97262327455</c:v>
                </c:pt>
                <c:pt idx="350">
                  <c:v>559263.63161931816</c:v>
                </c:pt>
                <c:pt idx="351">
                  <c:v>560628.62566101551</c:v>
                </c:pt>
                <c:pt idx="352">
                  <c:v>561997.12342777208</c:v>
                </c:pt>
                <c:pt idx="353">
                  <c:v>563368.29064519517</c:v>
                </c:pt>
                <c:pt idx="354">
                  <c:v>564741.29183796083</c:v>
                </c:pt>
                <c:pt idx="355">
                  <c:v>566115.29207332921</c:v>
                </c:pt>
                <c:pt idx="356">
                  <c:v>567489.45868835435</c:v>
                </c:pt>
                <c:pt idx="357">
                  <c:v>568862.96299400867</c:v>
                </c:pt>
                <c:pt idx="358">
                  <c:v>570234.98194966686</c:v>
                </c:pt>
                <c:pt idx="359">
                  <c:v>571604.69980165234</c:v>
                </c:pt>
                <c:pt idx="360">
                  <c:v>572971.30967984686</c:v>
                </c:pt>
                <c:pt idx="361">
                  <c:v>574334.0151466931</c:v>
                </c:pt>
                <c:pt idx="362">
                  <c:v>575692.03169328219</c:v>
                </c:pt>
                <c:pt idx="363">
                  <c:v>577044.58817760018</c:v>
                </c:pt>
                <c:pt idx="364">
                  <c:v>578390.92820041976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0A-4BEB-9665-B338159FA434}"/>
            </c:ext>
          </c:extLst>
        </c:ser>
        <c:ser>
          <c:idx val="3"/>
          <c:order val="3"/>
          <c:tx>
            <c:strRef>
              <c:f>Sheet1!$N$3</c:f>
              <c:strCache>
                <c:ptCount val="1"/>
                <c:pt idx="0">
                  <c:v>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Sheet1!$N$4:$N$368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9211.0254816283996</c:v>
                </c:pt>
                <c:pt idx="12">
                  <c:v>18388.215803774452</c:v>
                </c:pt>
                <c:pt idx="13">
                  <c:v>27531.722056954975</c:v>
                </c:pt>
                <c:pt idx="14">
                  <c:v>36641.695604911714</c:v>
                </c:pt>
                <c:pt idx="15">
                  <c:v>45718.288041926207</c:v>
                </c:pt>
                <c:pt idx="16">
                  <c:v>54761.651150208527</c:v>
                </c:pt>
                <c:pt idx="17">
                  <c:v>63771.936857424902</c:v>
                </c:pt>
                <c:pt idx="18">
                  <c:v>72749.297194427505</c:v>
                </c:pt>
                <c:pt idx="19">
                  <c:v>81693.884253247801</c:v>
                </c:pt>
                <c:pt idx="20">
                  <c:v>90605.850145412784</c:v>
                </c:pt>
                <c:pt idx="21">
                  <c:v>99485.34696064172</c:v>
                </c:pt>
                <c:pt idx="22">
                  <c:v>108332.52672597845</c:v>
                </c:pt>
                <c:pt idx="23">
                  <c:v>117147.5413654124</c:v>
                </c:pt>
                <c:pt idx="24">
                  <c:v>125930.54266003922</c:v>
                </c:pt>
                <c:pt idx="25">
                  <c:v>134681.6822088093</c:v>
                </c:pt>
                <c:pt idx="26">
                  <c:v>143401.11138991045</c:v>
                </c:pt>
                <c:pt idx="27">
                  <c:v>152088.98132282842</c:v>
                </c:pt>
                <c:pt idx="28">
                  <c:v>160745.44283112642</c:v>
                </c:pt>
                <c:pt idx="29">
                  <c:v>169370.64640598273</c:v>
                </c:pt>
                <c:pt idx="30">
                  <c:v>177964.74217052222</c:v>
                </c:pt>
                <c:pt idx="31">
                  <c:v>191122.01630651002</c:v>
                </c:pt>
                <c:pt idx="32">
                  <c:v>204208.58482448148</c:v>
                </c:pt>
                <c:pt idx="33">
                  <c:v>217224.86818401216</c:v>
                </c:pt>
                <c:pt idx="34">
                  <c:v>230171.28590858934</c:v>
                </c:pt>
                <c:pt idx="35">
                  <c:v>243048.25649692121</c:v>
                </c:pt>
                <c:pt idx="36">
                  <c:v>255856.19733512471</c:v>
                </c:pt>
                <c:pt idx="37">
                  <c:v>268595.52460997866</c:v>
                </c:pt>
                <c:pt idx="38">
                  <c:v>281266.65322342026</c:v>
                </c:pt>
                <c:pt idx="39">
                  <c:v>293869.99670845398</c:v>
                </c:pt>
                <c:pt idx="40">
                  <c:v>306405.96714663377</c:v>
                </c:pt>
                <c:pt idx="41">
                  <c:v>318874.97508726886</c:v>
                </c:pt>
                <c:pt idx="42">
                  <c:v>331277.42946849531</c:v>
                </c:pt>
                <c:pt idx="43">
                  <c:v>343613.73754034482</c:v>
                </c:pt>
                <c:pt idx="44">
                  <c:v>355884.30478993367</c:v>
                </c:pt>
                <c:pt idx="45">
                  <c:v>368089.53486888361</c:v>
                </c:pt>
                <c:pt idx="46">
                  <c:v>380229.82952307828</c:v>
                </c:pt>
                <c:pt idx="47">
                  <c:v>392305.58852484764</c:v>
                </c:pt>
                <c:pt idx="48">
                  <c:v>404317.20960766391</c:v>
                </c:pt>
                <c:pt idx="49">
                  <c:v>416265.08840342326</c:v>
                </c:pt>
                <c:pt idx="50">
                  <c:v>428149.61838237714</c:v>
                </c:pt>
                <c:pt idx="51">
                  <c:v>439971.19079576863</c:v>
                </c:pt>
                <c:pt idx="52">
                  <c:v>451730.19462121965</c:v>
                </c:pt>
                <c:pt idx="53">
                  <c:v>463427.01651090628</c:v>
                </c:pt>
                <c:pt idx="54">
                  <c:v>475062.04074255086</c:v>
                </c:pt>
                <c:pt idx="55">
                  <c:v>486635.64917325054</c:v>
                </c:pt>
                <c:pt idx="56">
                  <c:v>498148.22119615471</c:v>
                </c:pt>
                <c:pt idx="57">
                  <c:v>509600.13369999558</c:v>
                </c:pt>
                <c:pt idx="58">
                  <c:v>520991.76103146811</c:v>
                </c:pt>
                <c:pt idx="59">
                  <c:v>536308.15790460922</c:v>
                </c:pt>
                <c:pt idx="60">
                  <c:v>551515.55203462276</c:v>
                </c:pt>
                <c:pt idx="61">
                  <c:v>566614.66790430748</c:v>
                </c:pt>
                <c:pt idx="62">
                  <c:v>581606.22874904424</c:v>
                </c:pt>
                <c:pt idx="63">
                  <c:v>596490.95657465584</c:v>
                </c:pt>
                <c:pt idx="64">
                  <c:v>611269.57216631563</c:v>
                </c:pt>
                <c:pt idx="65">
                  <c:v>625942.79508865287</c:v>
                </c:pt>
                <c:pt idx="66">
                  <c:v>640511.34367723751</c:v>
                </c:pt>
                <c:pt idx="67">
                  <c:v>654975.93502165854</c:v>
                </c:pt>
                <c:pt idx="68">
                  <c:v>669337.28494044137</c:v>
                </c:pt>
                <c:pt idx="69">
                  <c:v>683596.10794807761</c:v>
                </c:pt>
                <c:pt idx="70">
                  <c:v>697753.11721446749</c:v>
                </c:pt>
                <c:pt idx="71">
                  <c:v>711809.02451710124</c:v>
                </c:pt>
                <c:pt idx="72">
                  <c:v>725764.54018632683</c:v>
                </c:pt>
                <c:pt idx="73">
                  <c:v>739620.37304407416</c:v>
                </c:pt>
                <c:pt idx="74">
                  <c:v>753377.2303364214</c:v>
                </c:pt>
                <c:pt idx="75">
                  <c:v>767035.81766040879</c:v>
                </c:pt>
                <c:pt idx="76">
                  <c:v>780596.83888551546</c:v>
                </c:pt>
                <c:pt idx="77">
                  <c:v>794060.99607022922</c:v>
                </c:pt>
                <c:pt idx="78">
                  <c:v>807428.98937414552</c:v>
                </c:pt>
                <c:pt idx="79">
                  <c:v>820701.51696604199</c:v>
                </c:pt>
                <c:pt idx="80">
                  <c:v>833879.2749283755</c:v>
                </c:pt>
                <c:pt idx="81">
                  <c:v>846962.957158654</c:v>
                </c:pt>
                <c:pt idx="82">
                  <c:v>859953.25526813371</c:v>
                </c:pt>
                <c:pt idx="83">
                  <c:v>872850.85847829108</c:v>
                </c:pt>
                <c:pt idx="84">
                  <c:v>885656.45351551403</c:v>
                </c:pt>
                <c:pt idx="85">
                  <c:v>898370.72450445092</c:v>
                </c:pt>
                <c:pt idx="86">
                  <c:v>910994.35286044853</c:v>
                </c:pt>
                <c:pt idx="87">
                  <c:v>923528.01718149998</c:v>
                </c:pt>
                <c:pt idx="88">
                  <c:v>935972.39314011205</c:v>
                </c:pt>
                <c:pt idx="89">
                  <c:v>948328.15337548964</c:v>
                </c:pt>
                <c:pt idx="90">
                  <c:v>963273.73032637709</c:v>
                </c:pt>
                <c:pt idx="91">
                  <c:v>978090.09018630045</c:v>
                </c:pt>
                <c:pt idx="92">
                  <c:v>992778.33995371661</c:v>
                </c:pt>
                <c:pt idx="93">
                  <c:v>1007339.5817945229</c:v>
                </c:pt>
                <c:pt idx="94">
                  <c:v>1021774.9129427584</c:v>
                </c:pt>
                <c:pt idx="95">
                  <c:v>1036085.4255932336</c:v>
                </c:pt>
                <c:pt idx="96">
                  <c:v>1050272.2067869264</c:v>
                </c:pt>
                <c:pt idx="97">
                  <c:v>1064336.3382899887</c:v>
                </c:pt>
                <c:pt idx="98">
                  <c:v>1078278.896467214</c:v>
                </c:pt>
                <c:pt idx="99">
                  <c:v>1092100.9521508149</c:v>
                </c:pt>
                <c:pt idx="100">
                  <c:v>1105803.5705053571</c:v>
                </c:pt>
                <c:pt idx="101">
                  <c:v>1119387.8108896795</c:v>
                </c:pt>
                <c:pt idx="102">
                  <c:v>1132854.7267166246</c:v>
                </c:pt>
                <c:pt idx="103">
                  <c:v>1146205.3653113777</c:v>
                </c:pt>
                <c:pt idx="104">
                  <c:v>1159440.767769194</c:v>
                </c:pt>
                <c:pt idx="105">
                  <c:v>1172561.9688132661</c:v>
                </c:pt>
                <c:pt idx="106">
                  <c:v>1185569.9966534586</c:v>
                </c:pt>
                <c:pt idx="107">
                  <c:v>1198465.8728465971</c:v>
                </c:pt>
                <c:pt idx="108">
                  <c:v>1211250.6121589744</c:v>
                </c:pt>
                <c:pt idx="109">
                  <c:v>1223925.2224316914</c:v>
                </c:pt>
                <c:pt idx="110">
                  <c:v>1236490.7044494173</c:v>
                </c:pt>
                <c:pt idx="111">
                  <c:v>1248948.0518131135</c:v>
                </c:pt>
                <c:pt idx="112">
                  <c:v>1261298.2508172197</c:v>
                </c:pt>
                <c:pt idx="113">
                  <c:v>1273542.2803317674</c:v>
                </c:pt>
                <c:pt idx="114">
                  <c:v>1285681.1116898344</c:v>
                </c:pt>
                <c:pt idx="115">
                  <c:v>1297715.70858072</c:v>
                </c:pt>
                <c:pt idx="116">
                  <c:v>1309647.02694917</c:v>
                </c:pt>
                <c:pt idx="117">
                  <c:v>1321476.0149009465</c:v>
                </c:pt>
                <c:pt idx="118">
                  <c:v>1333203.6126149879</c:v>
                </c:pt>
                <c:pt idx="119">
                  <c:v>1344830.75226237</c:v>
                </c:pt>
                <c:pt idx="120">
                  <c:v>1350080.5393312355</c:v>
                </c:pt>
                <c:pt idx="121">
                  <c:v>1355309.1987627249</c:v>
                </c:pt>
                <c:pt idx="122">
                  <c:v>1360516.848874809</c:v>
                </c:pt>
                <c:pt idx="123">
                  <c:v>1365703.6067665489</c:v>
                </c:pt>
                <c:pt idx="124">
                  <c:v>1370869.5883215973</c:v>
                </c:pt>
                <c:pt idx="125">
                  <c:v>1376014.9082125917</c:v>
                </c:pt>
                <c:pt idx="126">
                  <c:v>1381139.6799064013</c:v>
                </c:pt>
                <c:pt idx="127">
                  <c:v>1386244.0156701878</c:v>
                </c:pt>
                <c:pt idx="128">
                  <c:v>1391328.0265782366</c:v>
                </c:pt>
                <c:pt idx="129">
                  <c:v>1396391.8225195243</c:v>
                </c:pt>
                <c:pt idx="130">
                  <c:v>1401435.5122059777</c:v>
                </c:pt>
                <c:pt idx="131">
                  <c:v>1406459.2031813909</c:v>
                </c:pt>
                <c:pt idx="132">
                  <c:v>1411463.001830959</c:v>
                </c:pt>
                <c:pt idx="133">
                  <c:v>1416447.0133913907</c:v>
                </c:pt>
                <c:pt idx="134">
                  <c:v>1421411.3419615654</c:v>
                </c:pt>
                <c:pt idx="135">
                  <c:v>1426356.0905136962</c:v>
                </c:pt>
                <c:pt idx="136">
                  <c:v>1431281.3609049639</c:v>
                </c:pt>
                <c:pt idx="137">
                  <c:v>1436187.2538895882</c:v>
                </c:pt>
                <c:pt idx="138">
                  <c:v>1441073.8691313008</c:v>
                </c:pt>
                <c:pt idx="139">
                  <c:v>1445941.3052161883</c:v>
                </c:pt>
                <c:pt idx="140">
                  <c:v>1450789.6596658716</c:v>
                </c:pt>
                <c:pt idx="141">
                  <c:v>1455619.0289509925</c:v>
                </c:pt>
                <c:pt idx="142">
                  <c:v>1460429.5085049742</c:v>
                </c:pt>
                <c:pt idx="143">
                  <c:v>1465221.1927380289</c:v>
                </c:pt>
                <c:pt idx="144">
                  <c:v>1469994.175051382</c:v>
                </c:pt>
                <c:pt idx="145">
                  <c:v>1474748.5478516868</c:v>
                </c:pt>
                <c:pt idx="146">
                  <c:v>1479484.4025656022</c:v>
                </c:pt>
                <c:pt idx="147">
                  <c:v>1484201.829654508</c:v>
                </c:pt>
                <c:pt idx="148">
                  <c:v>1488900.9186293329</c:v>
                </c:pt>
                <c:pt idx="149">
                  <c:v>1493581.7580654726</c:v>
                </c:pt>
                <c:pt idx="150">
                  <c:v>1498244.4356177736</c:v>
                </c:pt>
                <c:pt idx="151">
                  <c:v>1500455.5058187945</c:v>
                </c:pt>
                <c:pt idx="152">
                  <c:v>1502662.2852083547</c:v>
                </c:pt>
                <c:pt idx="153">
                  <c:v>1504864.7830050299</c:v>
                </c:pt>
                <c:pt idx="154">
                  <c:v>1507063.0084626551</c:v>
                </c:pt>
                <c:pt idx="155">
                  <c:v>1509256.9708692948</c:v>
                </c:pt>
                <c:pt idx="156">
                  <c:v>1511446.6795461939</c:v>
                </c:pt>
                <c:pt idx="157">
                  <c:v>1513632.1438467077</c:v>
                </c:pt>
                <c:pt idx="158">
                  <c:v>1515813.3731552146</c:v>
                </c:pt>
                <c:pt idx="159">
                  <c:v>1517990.3768860109</c:v>
                </c:pt>
                <c:pt idx="160">
                  <c:v>1520163.1644821896</c:v>
                </c:pt>
                <c:pt idx="161">
                  <c:v>1522331.7454145032</c:v>
                </c:pt>
                <c:pt idx="162">
                  <c:v>1524496.1291802137</c:v>
                </c:pt>
                <c:pt idx="163">
                  <c:v>1526656.325301928</c:v>
                </c:pt>
                <c:pt idx="164">
                  <c:v>1528812.3433264224</c:v>
                </c:pt>
                <c:pt idx="165">
                  <c:v>1530964.1928234557</c:v>
                </c:pt>
                <c:pt idx="166">
                  <c:v>1533111.8833845726</c:v>
                </c:pt>
                <c:pt idx="167">
                  <c:v>1535255.424621898</c:v>
                </c:pt>
                <c:pt idx="168">
                  <c:v>1537394.8261669239</c:v>
                </c:pt>
                <c:pt idx="169">
                  <c:v>1539530.0976692897</c:v>
                </c:pt>
                <c:pt idx="170">
                  <c:v>1541661.2487955566</c:v>
                </c:pt>
                <c:pt idx="171">
                  <c:v>1543788.2892279774</c:v>
                </c:pt>
                <c:pt idx="172">
                  <c:v>1545911.2286632634</c:v>
                </c:pt>
                <c:pt idx="173">
                  <c:v>1548030.0768113476</c:v>
                </c:pt>
                <c:pt idx="174">
                  <c:v>1550144.8433941482</c:v>
                </c:pt>
                <c:pt idx="175">
                  <c:v>1552255.5381443293</c:v>
                </c:pt>
                <c:pt idx="176">
                  <c:v>1554362.1708040645</c:v>
                </c:pt>
                <c:pt idx="177">
                  <c:v>1556464.7511238004</c:v>
                </c:pt>
                <c:pt idx="178">
                  <c:v>1558563.2888610228</c:v>
                </c:pt>
                <c:pt idx="179">
                  <c:v>1560657.7937790269</c:v>
                </c:pt>
                <c:pt idx="180">
                  <c:v>1562748.2756456912</c:v>
                </c:pt>
                <c:pt idx="181">
                  <c:v>1564601.3957531594</c:v>
                </c:pt>
                <c:pt idx="182">
                  <c:v>1566451.1864866721</c:v>
                </c:pt>
                <c:pt idx="183">
                  <c:v>1568297.6347861607</c:v>
                </c:pt>
                <c:pt idx="184">
                  <c:v>1570140.726810511</c:v>
                </c:pt>
                <c:pt idx="185">
                  <c:v>1571980.4479104981</c:v>
                </c:pt>
                <c:pt idx="186">
                  <c:v>1573816.7826011893</c:v>
                </c:pt>
                <c:pt idx="187">
                  <c:v>1575649.7145338412</c:v>
                </c:pt>
                <c:pt idx="188">
                  <c:v>1577479.2264673123</c:v>
                </c:pt>
                <c:pt idx="189">
                  <c:v>1579305.30023902</c:v>
                </c:pt>
                <c:pt idx="190">
                  <c:v>1581127.9167354747</c:v>
                </c:pt>
                <c:pt idx="191">
                  <c:v>1582947.0558624251</c:v>
                </c:pt>
                <c:pt idx="192">
                  <c:v>1584762.6965146556</c:v>
                </c:pt>
                <c:pt idx="193">
                  <c:v>1586574.8165454785</c:v>
                </c:pt>
                <c:pt idx="194">
                  <c:v>1588383.3927359728</c:v>
                </c:pt>
                <c:pt idx="195">
                  <c:v>1590188.400764019</c:v>
                </c:pt>
                <c:pt idx="196">
                  <c:v>1591989.8151731947</c:v>
                </c:pt>
                <c:pt idx="197">
                  <c:v>1593787.6093415897</c:v>
                </c:pt>
                <c:pt idx="198">
                  <c:v>1595581.755450615</c:v>
                </c:pt>
                <c:pt idx="199">
                  <c:v>1597372.2244538795</c:v>
                </c:pt>
                <c:pt idx="200">
                  <c:v>1599158.9860462185</c:v>
                </c:pt>
                <c:pt idx="201">
                  <c:v>1600942.0086329617</c:v>
                </c:pt>
                <c:pt idx="202">
                  <c:v>1602721.2592995358</c:v>
                </c:pt>
                <c:pt idx="203">
                  <c:v>1604496.7037815063</c:v>
                </c:pt>
                <c:pt idx="204">
                  <c:v>1606268.3064351657</c:v>
                </c:pt>
                <c:pt idx="205">
                  <c:v>1608036.0302087867</c:v>
                </c:pt>
                <c:pt idx="206">
                  <c:v>1609799.8366146637</c:v>
                </c:pt>
                <c:pt idx="207">
                  <c:v>1611559.6857020753</c:v>
                </c:pt>
                <c:pt idx="208">
                  <c:v>1613315.5360313072</c:v>
                </c:pt>
                <c:pt idx="209">
                  <c:v>1615067.344648883</c:v>
                </c:pt>
                <c:pt idx="210">
                  <c:v>1616815.0670641577</c:v>
                </c:pt>
                <c:pt idx="211">
                  <c:v>1618558.6572274391</c:v>
                </c:pt>
                <c:pt idx="212">
                  <c:v>1621718.7009804435</c:v>
                </c:pt>
                <c:pt idx="213">
                  <c:v>1624867.1074761464</c:v>
                </c:pt>
                <c:pt idx="214">
                  <c:v>1628003.8378523393</c:v>
                </c:pt>
                <c:pt idx="215">
                  <c:v>1631128.8525356569</c:v>
                </c:pt>
                <c:pt idx="216">
                  <c:v>1634242.1113006074</c:v>
                </c:pt>
                <c:pt idx="217">
                  <c:v>1637343.573331801</c:v>
                </c:pt>
                <c:pt idx="218">
                  <c:v>1640433.1972893472</c:v>
                </c:pt>
                <c:pt idx="219">
                  <c:v>1643510.9413773776</c:v>
                </c:pt>
                <c:pt idx="220">
                  <c:v>1646576.7634156384</c:v>
                </c:pt>
                <c:pt idx="221">
                  <c:v>1649630.6209140823</c:v>
                </c:pt>
                <c:pt idx="222">
                  <c:v>1652672.4711503799</c:v>
                </c:pt>
                <c:pt idx="223">
                  <c:v>1655702.2712502512</c:v>
                </c:pt>
                <c:pt idx="224">
                  <c:v>1658719.9782705104</c:v>
                </c:pt>
                <c:pt idx="225">
                  <c:v>1661725.5492846982</c:v>
                </c:pt>
                <c:pt idx="226">
                  <c:v>1664718.9414711634</c:v>
                </c:pt>
                <c:pt idx="227">
                  <c:v>1667700.112203443</c:v>
                </c:pt>
                <c:pt idx="228">
                  <c:v>1670669.0191427721</c:v>
                </c:pt>
                <c:pt idx="229">
                  <c:v>1673625.6203325458</c:v>
                </c:pt>
                <c:pt idx="230">
                  <c:v>1676569.8742945378</c:v>
                </c:pt>
                <c:pt idx="231">
                  <c:v>1679501.7401266687</c:v>
                </c:pt>
                <c:pt idx="232">
                  <c:v>1682421.1776021055</c:v>
                </c:pt>
                <c:pt idx="233">
                  <c:v>1685328.1472694585</c:v>
                </c:pt>
                <c:pt idx="234">
                  <c:v>1688222.6105538323</c:v>
                </c:pt>
                <c:pt idx="235">
                  <c:v>1691104.5298584783</c:v>
                </c:pt>
                <c:pt idx="236">
                  <c:v>1693973.868666782</c:v>
                </c:pt>
                <c:pt idx="237">
                  <c:v>1696830.5916443118</c:v>
                </c:pt>
                <c:pt idx="238">
                  <c:v>1699674.6647406493</c:v>
                </c:pt>
                <c:pt idx="239">
                  <c:v>1702506.0552907118</c:v>
                </c:pt>
                <c:pt idx="240">
                  <c:v>1705324.7321152724</c:v>
                </c:pt>
                <c:pt idx="241">
                  <c:v>1708130.6656203812</c:v>
                </c:pt>
                <c:pt idx="242">
                  <c:v>1710923.8278953834</c:v>
                </c:pt>
                <c:pt idx="243">
                  <c:v>1712814.9515188024</c:v>
                </c:pt>
                <c:pt idx="244">
                  <c:v>1714699.4381847859</c:v>
                </c:pt>
                <c:pt idx="245">
                  <c:v>1716577.2959408653</c:v>
                </c:pt>
                <c:pt idx="246">
                  <c:v>1718448.5339050889</c:v>
                </c:pt>
                <c:pt idx="247">
                  <c:v>1720313.1622659143</c:v>
                </c:pt>
                <c:pt idx="248">
                  <c:v>1722171.192280673</c:v>
                </c:pt>
                <c:pt idx="249">
                  <c:v>1724022.6362726148</c:v>
                </c:pt>
                <c:pt idx="250">
                  <c:v>1725867.5076265442</c:v>
                </c:pt>
                <c:pt idx="251">
                  <c:v>1727705.8207830614</c:v>
                </c:pt>
                <c:pt idx="252">
                  <c:v>1729537.5912314286</c:v>
                </c:pt>
                <c:pt idx="253">
                  <c:v>1731362.8355010797</c:v>
                </c:pt>
                <c:pt idx="254">
                  <c:v>1733181.5711518028</c:v>
                </c:pt>
                <c:pt idx="255">
                  <c:v>1734993.8167626197</c:v>
                </c:pt>
                <c:pt idx="256">
                  <c:v>1736799.5919193951</c:v>
                </c:pt>
                <c:pt idx="257">
                  <c:v>1738598.9172012103</c:v>
                </c:pt>
                <c:pt idx="258">
                  <c:v>1740391.814165537</c:v>
                </c:pt>
                <c:pt idx="259">
                  <c:v>1742178.3053322521</c:v>
                </c:pt>
                <c:pt idx="260">
                  <c:v>1743958.4141665334</c:v>
                </c:pt>
                <c:pt idx="261">
                  <c:v>1745732.1650606836</c:v>
                </c:pt>
                <c:pt idx="262">
                  <c:v>1747499.5833149254</c:v>
                </c:pt>
                <c:pt idx="263">
                  <c:v>1749260.6951172189</c:v>
                </c:pt>
                <c:pt idx="264">
                  <c:v>1751015.5275221486</c:v>
                </c:pt>
                <c:pt idx="265">
                  <c:v>1752764.1084289348</c:v>
                </c:pt>
                <c:pt idx="266">
                  <c:v>1754506.4665586182</c:v>
                </c:pt>
                <c:pt idx="267">
                  <c:v>1756242.631430475</c:v>
                </c:pt>
                <c:pt idx="268">
                  <c:v>1757972.6333377147</c:v>
                </c:pt>
                <c:pt idx="269">
                  <c:v>1759696.5033225177</c:v>
                </c:pt>
                <c:pt idx="270">
                  <c:v>1761414.2731504689</c:v>
                </c:pt>
                <c:pt idx="271">
                  <c:v>1763125.9752844414</c:v>
                </c:pt>
                <c:pt idx="272">
                  <c:v>1764831.6428579888</c:v>
                </c:pt>
                <c:pt idx="273">
                  <c:v>1766308.0444885336</c:v>
                </c:pt>
                <c:pt idx="274">
                  <c:v>1767779.6615720859</c:v>
                </c:pt>
                <c:pt idx="275">
                  <c:v>1769246.5231750547</c:v>
                </c:pt>
                <c:pt idx="276">
                  <c:v>1770708.6587782654</c:v>
                </c:pt>
                <c:pt idx="277">
                  <c:v>1772166.0982544348</c:v>
                </c:pt>
                <c:pt idx="278">
                  <c:v>1773618.8718456104</c:v>
                </c:pt>
                <c:pt idx="279">
                  <c:v>1775067.0101406097</c:v>
                </c:pt>
                <c:pt idx="280">
                  <c:v>1776510.5440524961</c:v>
                </c:pt>
                <c:pt idx="281">
                  <c:v>1777949.5047961276</c:v>
                </c:pt>
                <c:pt idx="282">
                  <c:v>1779383.923865811</c:v>
                </c:pt>
                <c:pt idx="283">
                  <c:v>1780813.8330130945</c:v>
                </c:pt>
                <c:pt idx="284">
                  <c:v>1782239.2642247302</c:v>
                </c:pt>
                <c:pt idx="285">
                  <c:v>1783660.2497008368</c:v>
                </c:pt>
                <c:pt idx="286">
                  <c:v>1785076.821833292</c:v>
                </c:pt>
                <c:pt idx="287">
                  <c:v>1786489.0131843793</c:v>
                </c:pt>
                <c:pt idx="288">
                  <c:v>1787896.8564657189</c:v>
                </c:pt>
                <c:pt idx="289">
                  <c:v>1789300.3845175041</c:v>
                </c:pt>
                <c:pt idx="290">
                  <c:v>1790699.6302880689</c:v>
                </c:pt>
                <c:pt idx="291">
                  <c:v>1792094.6268138054</c:v>
                </c:pt>
                <c:pt idx="292">
                  <c:v>1793485.4071994554</c:v>
                </c:pt>
                <c:pt idx="293">
                  <c:v>1794872.0045987905</c:v>
                </c:pt>
                <c:pt idx="294">
                  <c:v>1796254.4521957014</c:v>
                </c:pt>
                <c:pt idx="295">
                  <c:v>1797632.7831857104</c:v>
                </c:pt>
                <c:pt idx="296">
                  <c:v>1799007.0307579234</c:v>
                </c:pt>
                <c:pt idx="297">
                  <c:v>1800377.2280774314</c:v>
                </c:pt>
                <c:pt idx="298">
                  <c:v>1801743.4082681779</c:v>
                </c:pt>
                <c:pt idx="299">
                  <c:v>1803105.6043962969</c:v>
                </c:pt>
                <c:pt idx="300">
                  <c:v>1804463.8494539368</c:v>
                </c:pt>
                <c:pt idx="301">
                  <c:v>1805818.1763435723</c:v>
                </c:pt>
                <c:pt idx="302">
                  <c:v>1807168.617862815</c:v>
                </c:pt>
                <c:pt idx="303">
                  <c:v>1808515.2066897256</c:v>
                </c:pt>
                <c:pt idx="304">
                  <c:v>1811800.6965893898</c:v>
                </c:pt>
                <c:pt idx="305">
                  <c:v>1815067.5394486061</c:v>
                </c:pt>
                <c:pt idx="306">
                  <c:v>1818315.7713263596</c:v>
                </c:pt>
                <c:pt idx="307">
                  <c:v>1821545.4310429734</c:v>
                </c:pt>
                <c:pt idx="308">
                  <c:v>1824756.5602364205</c:v>
                </c:pt>
                <c:pt idx="309">
                  <c:v>1827949.2034121626</c:v>
                </c:pt>
                <c:pt idx="310">
                  <c:v>1831123.407986342</c:v>
                </c:pt>
                <c:pt idx="311">
                  <c:v>1834279.224322173</c:v>
                </c:pt>
                <c:pt idx="312">
                  <c:v>1837416.7057594149</c:v>
                </c:pt>
                <c:pt idx="313">
                  <c:v>1840535.9086368296</c:v>
                </c:pt>
                <c:pt idx="314">
                  <c:v>1843636.8923075642</c:v>
                </c:pt>
                <c:pt idx="315">
                  <c:v>1846719.7191474205</c:v>
                </c:pt>
                <c:pt idx="316">
                  <c:v>1849784.454556009</c:v>
                </c:pt>
                <c:pt idx="317">
                  <c:v>1852831.1669508086</c:v>
                </c:pt>
                <c:pt idx="318">
                  <c:v>1855859.9277541877</c:v>
                </c:pt>
                <c:pt idx="319">
                  <c:v>1858870.8113734676</c:v>
                </c:pt>
                <c:pt idx="320">
                  <c:v>1861863.8951741371</c:v>
                </c:pt>
                <c:pt idx="321">
                  <c:v>1864839.259446356</c:v>
                </c:pt>
                <c:pt idx="322">
                  <c:v>1867796.9873649075</c:v>
                </c:pt>
                <c:pt idx="323">
                  <c:v>1870737.1649427901</c:v>
                </c:pt>
                <c:pt idx="324">
                  <c:v>1873659.8809786541</c:v>
                </c:pt>
                <c:pt idx="325">
                  <c:v>1876565.2269983212</c:v>
                </c:pt>
                <c:pt idx="326">
                  <c:v>1879453.2971906338</c:v>
                </c:pt>
                <c:pt idx="327">
                  <c:v>1882324.1883379086</c:v>
                </c:pt>
                <c:pt idx="328">
                  <c:v>1885177.9997412802</c:v>
                </c:pt>
                <c:pt idx="329">
                  <c:v>1888014.8331412398</c:v>
                </c:pt>
                <c:pt idx="330">
                  <c:v>1890834.7926336823</c:v>
                </c:pt>
                <c:pt idx="331">
                  <c:v>1893637.9845817897</c:v>
                </c:pt>
                <c:pt idx="332">
                  <c:v>1896424.5175240873</c:v>
                </c:pt>
                <c:pt idx="333">
                  <c:v>1899194.5020790158</c:v>
                </c:pt>
                <c:pt idx="334">
                  <c:v>1901591.6918995818</c:v>
                </c:pt>
                <c:pt idx="335">
                  <c:v>1903975.2158206902</c:v>
                </c:pt>
                <c:pt idx="336">
                  <c:v>1906345.0864042577</c:v>
                </c:pt>
                <c:pt idx="337">
                  <c:v>1908701.3192021346</c:v>
                </c:pt>
                <c:pt idx="338">
                  <c:v>1911043.9328061868</c:v>
                </c:pt>
                <c:pt idx="339">
                  <c:v>1913372.9488913522</c:v>
                </c:pt>
                <c:pt idx="340">
                  <c:v>1915688.3922515027</c:v>
                </c:pt>
                <c:pt idx="341">
                  <c:v>1917990.2908279838</c:v>
                </c:pt>
                <c:pt idx="342">
                  <c:v>1920278.6757307283</c:v>
                </c:pt>
                <c:pt idx="343">
                  <c:v>1922553.5812518799</c:v>
                </c:pt>
                <c:pt idx="344">
                  <c:v>1924815.0448718907</c:v>
                </c:pt>
                <c:pt idx="345">
                  <c:v>1927063.1072580963</c:v>
                </c:pt>
                <c:pt idx="346">
                  <c:v>1929297.8122557998</c:v>
                </c:pt>
                <c:pt idx="347">
                  <c:v>1931519.2068719312</c:v>
                </c:pt>
                <c:pt idx="348">
                  <c:v>1933727.3412513847</c:v>
                </c:pt>
                <c:pt idx="349">
                  <c:v>1935922.2686461599</c:v>
                </c:pt>
                <c:pt idx="350">
                  <c:v>1938104.0453774717</c:v>
                </c:pt>
                <c:pt idx="351">
                  <c:v>1940272.7307910165</c:v>
                </c:pt>
                <c:pt idx="352">
                  <c:v>1942428.3872056135</c:v>
                </c:pt>
                <c:pt idx="353">
                  <c:v>1944571.0798554646</c:v>
                </c:pt>
                <c:pt idx="354">
                  <c:v>1946700.8768262987</c:v>
                </c:pt>
                <c:pt idx="355">
                  <c:v>1948817.848985692</c:v>
                </c:pt>
                <c:pt idx="356">
                  <c:v>1950922.0699078727</c:v>
                </c:pt>
                <c:pt idx="357">
                  <c:v>1953013.6157933357</c:v>
                </c:pt>
                <c:pt idx="358">
                  <c:v>1955092.5653836138</c:v>
                </c:pt>
                <c:pt idx="359">
                  <c:v>1957158.9998715564</c:v>
                </c:pt>
                <c:pt idx="360">
                  <c:v>1959213.0028074859</c:v>
                </c:pt>
                <c:pt idx="361">
                  <c:v>1961254.6600016057</c:v>
                </c:pt>
                <c:pt idx="362">
                  <c:v>1963284.0594230408</c:v>
                </c:pt>
                <c:pt idx="363">
                  <c:v>1965301.2910958969</c:v>
                </c:pt>
                <c:pt idx="364">
                  <c:v>1967306.4469927237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0A-4BEB-9665-B338159FA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287279"/>
        <c:axId val="660286319"/>
      </c:lineChart>
      <c:catAx>
        <c:axId val="660287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86319"/>
        <c:crosses val="autoZero"/>
        <c:auto val="1"/>
        <c:lblAlgn val="ctr"/>
        <c:lblOffset val="100"/>
        <c:noMultiLvlLbl val="0"/>
      </c:catAx>
      <c:valAx>
        <c:axId val="66028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28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Simulated vs. Total Infections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Total Infected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Sheet1!$D$4:$D$368</c:f>
              <c:numCache>
                <c:formatCode>General</c:formatCode>
                <c:ptCount val="365"/>
                <c:pt idx="0">
                  <c:v>12686</c:v>
                </c:pt>
                <c:pt idx="1">
                  <c:v>11783</c:v>
                </c:pt>
                <c:pt idx="2">
                  <c:v>11054</c:v>
                </c:pt>
                <c:pt idx="3">
                  <c:v>12090</c:v>
                </c:pt>
                <c:pt idx="4">
                  <c:v>13505</c:v>
                </c:pt>
                <c:pt idx="5">
                  <c:v>15477</c:v>
                </c:pt>
                <c:pt idx="6">
                  <c:v>16540</c:v>
                </c:pt>
                <c:pt idx="7">
                  <c:v>16452</c:v>
                </c:pt>
                <c:pt idx="8">
                  <c:v>16104</c:v>
                </c:pt>
                <c:pt idx="9">
                  <c:v>14970</c:v>
                </c:pt>
                <c:pt idx="10">
                  <c:v>14794</c:v>
                </c:pt>
                <c:pt idx="11">
                  <c:v>15359</c:v>
                </c:pt>
                <c:pt idx="12">
                  <c:v>16446</c:v>
                </c:pt>
                <c:pt idx="13">
                  <c:v>16203</c:v>
                </c:pt>
                <c:pt idx="14">
                  <c:v>15629</c:v>
                </c:pt>
                <c:pt idx="15">
                  <c:v>13972</c:v>
                </c:pt>
                <c:pt idx="16">
                  <c:v>11962</c:v>
                </c:pt>
                <c:pt idx="17">
                  <c:v>11320</c:v>
                </c:pt>
                <c:pt idx="18">
                  <c:v>11131</c:v>
                </c:pt>
                <c:pt idx="19">
                  <c:v>12105</c:v>
                </c:pt>
                <c:pt idx="20">
                  <c:v>12666</c:v>
                </c:pt>
                <c:pt idx="21">
                  <c:v>12441</c:v>
                </c:pt>
                <c:pt idx="22">
                  <c:v>11464</c:v>
                </c:pt>
                <c:pt idx="23">
                  <c:v>10581</c:v>
                </c:pt>
                <c:pt idx="24">
                  <c:v>9980</c:v>
                </c:pt>
                <c:pt idx="25">
                  <c:v>10254</c:v>
                </c:pt>
                <c:pt idx="26">
                  <c:v>10963</c:v>
                </c:pt>
                <c:pt idx="27">
                  <c:v>11042</c:v>
                </c:pt>
                <c:pt idx="28">
                  <c:v>10387</c:v>
                </c:pt>
                <c:pt idx="29">
                  <c:v>10323</c:v>
                </c:pt>
                <c:pt idx="30">
                  <c:v>8968</c:v>
                </c:pt>
                <c:pt idx="31">
                  <c:v>8492</c:v>
                </c:pt>
                <c:pt idx="32">
                  <c:v>8649</c:v>
                </c:pt>
                <c:pt idx="33">
                  <c:v>9168</c:v>
                </c:pt>
                <c:pt idx="34">
                  <c:v>9309</c:v>
                </c:pt>
                <c:pt idx="35">
                  <c:v>8795</c:v>
                </c:pt>
                <c:pt idx="36">
                  <c:v>8192</c:v>
                </c:pt>
                <c:pt idx="37">
                  <c:v>7466</c:v>
                </c:pt>
                <c:pt idx="38">
                  <c:v>7530</c:v>
                </c:pt>
                <c:pt idx="39">
                  <c:v>7040</c:v>
                </c:pt>
                <c:pt idx="40">
                  <c:v>7653</c:v>
                </c:pt>
                <c:pt idx="41">
                  <c:v>7245</c:v>
                </c:pt>
                <c:pt idx="42">
                  <c:v>7291</c:v>
                </c:pt>
                <c:pt idx="43">
                  <c:v>6731</c:v>
                </c:pt>
                <c:pt idx="44">
                  <c:v>6042</c:v>
                </c:pt>
                <c:pt idx="45">
                  <c:v>5929</c:v>
                </c:pt>
                <c:pt idx="46">
                  <c:v>6012</c:v>
                </c:pt>
                <c:pt idx="47">
                  <c:v>6316</c:v>
                </c:pt>
                <c:pt idx="48">
                  <c:v>6283</c:v>
                </c:pt>
                <c:pt idx="49">
                  <c:v>5597</c:v>
                </c:pt>
                <c:pt idx="50">
                  <c:v>5164</c:v>
                </c:pt>
                <c:pt idx="51">
                  <c:v>5208</c:v>
                </c:pt>
                <c:pt idx="52">
                  <c:v>4522</c:v>
                </c:pt>
                <c:pt idx="53">
                  <c:v>4923</c:v>
                </c:pt>
                <c:pt idx="54">
                  <c:v>5407</c:v>
                </c:pt>
                <c:pt idx="55">
                  <c:v>5497</c:v>
                </c:pt>
                <c:pt idx="56">
                  <c:v>5522</c:v>
                </c:pt>
                <c:pt idx="57">
                  <c:v>5364</c:v>
                </c:pt>
                <c:pt idx="58">
                  <c:v>4953</c:v>
                </c:pt>
                <c:pt idx="59">
                  <c:v>5143</c:v>
                </c:pt>
                <c:pt idx="60">
                  <c:v>5271</c:v>
                </c:pt>
                <c:pt idx="61">
                  <c:v>5369</c:v>
                </c:pt>
                <c:pt idx="62">
                  <c:v>5501</c:v>
                </c:pt>
                <c:pt idx="63">
                  <c:v>5159</c:v>
                </c:pt>
                <c:pt idx="64">
                  <c:v>4846</c:v>
                </c:pt>
                <c:pt idx="65">
                  <c:v>4449</c:v>
                </c:pt>
                <c:pt idx="66">
                  <c:v>4288</c:v>
                </c:pt>
                <c:pt idx="67">
                  <c:v>4621</c:v>
                </c:pt>
                <c:pt idx="68">
                  <c:v>4923</c:v>
                </c:pt>
                <c:pt idx="69">
                  <c:v>4947</c:v>
                </c:pt>
                <c:pt idx="70">
                  <c:v>4847</c:v>
                </c:pt>
                <c:pt idx="71">
                  <c:v>4696</c:v>
                </c:pt>
                <c:pt idx="72">
                  <c:v>4298</c:v>
                </c:pt>
                <c:pt idx="73">
                  <c:v>4182</c:v>
                </c:pt>
                <c:pt idx="74">
                  <c:v>4340</c:v>
                </c:pt>
                <c:pt idx="75">
                  <c:v>4596</c:v>
                </c:pt>
                <c:pt idx="76">
                  <c:v>4732</c:v>
                </c:pt>
                <c:pt idx="77">
                  <c:v>4413</c:v>
                </c:pt>
                <c:pt idx="78">
                  <c:v>4266</c:v>
                </c:pt>
                <c:pt idx="79">
                  <c:v>3948</c:v>
                </c:pt>
                <c:pt idx="80">
                  <c:v>3875</c:v>
                </c:pt>
                <c:pt idx="81">
                  <c:v>4280</c:v>
                </c:pt>
                <c:pt idx="82">
                  <c:v>4704</c:v>
                </c:pt>
                <c:pt idx="83">
                  <c:v>5189</c:v>
                </c:pt>
                <c:pt idx="84">
                  <c:v>5204</c:v>
                </c:pt>
                <c:pt idx="85">
                  <c:v>5286</c:v>
                </c:pt>
                <c:pt idx="86">
                  <c:v>4854</c:v>
                </c:pt>
                <c:pt idx="87">
                  <c:v>4915</c:v>
                </c:pt>
                <c:pt idx="88">
                  <c:v>5112</c:v>
                </c:pt>
                <c:pt idx="89">
                  <c:v>5617</c:v>
                </c:pt>
                <c:pt idx="90">
                  <c:v>5919</c:v>
                </c:pt>
                <c:pt idx="91">
                  <c:v>5729</c:v>
                </c:pt>
                <c:pt idx="92">
                  <c:v>5617</c:v>
                </c:pt>
                <c:pt idx="93">
                  <c:v>4870</c:v>
                </c:pt>
                <c:pt idx="94">
                  <c:v>4774</c:v>
                </c:pt>
                <c:pt idx="95">
                  <c:v>5003</c:v>
                </c:pt>
                <c:pt idx="96">
                  <c:v>5114</c:v>
                </c:pt>
                <c:pt idx="97">
                  <c:v>5235</c:v>
                </c:pt>
                <c:pt idx="98">
                  <c:v>5317</c:v>
                </c:pt>
                <c:pt idx="99">
                  <c:v>5107</c:v>
                </c:pt>
                <c:pt idx="100">
                  <c:v>4882</c:v>
                </c:pt>
                <c:pt idx="101">
                  <c:v>4483</c:v>
                </c:pt>
                <c:pt idx="102">
                  <c:v>4532</c:v>
                </c:pt>
                <c:pt idx="103">
                  <c:v>5033</c:v>
                </c:pt>
                <c:pt idx="104">
                  <c:v>5044</c:v>
                </c:pt>
                <c:pt idx="105">
                  <c:v>4703</c:v>
                </c:pt>
                <c:pt idx="106">
                  <c:v>4937</c:v>
                </c:pt>
                <c:pt idx="107">
                  <c:v>4559</c:v>
                </c:pt>
                <c:pt idx="108">
                  <c:v>4266</c:v>
                </c:pt>
                <c:pt idx="109">
                  <c:v>4273</c:v>
                </c:pt>
                <c:pt idx="110">
                  <c:v>4401</c:v>
                </c:pt>
                <c:pt idx="111">
                  <c:v>4694</c:v>
                </c:pt>
                <c:pt idx="112">
                  <c:v>4595</c:v>
                </c:pt>
                <c:pt idx="113">
                  <c:v>4337</c:v>
                </c:pt>
                <c:pt idx="114">
                  <c:v>4050</c:v>
                </c:pt>
                <c:pt idx="115">
                  <c:v>3898</c:v>
                </c:pt>
                <c:pt idx="116">
                  <c:v>3765</c:v>
                </c:pt>
                <c:pt idx="117">
                  <c:v>4020</c:v>
                </c:pt>
                <c:pt idx="118">
                  <c:v>4137</c:v>
                </c:pt>
                <c:pt idx="119">
                  <c:v>4059</c:v>
                </c:pt>
                <c:pt idx="120">
                  <c:v>3808</c:v>
                </c:pt>
                <c:pt idx="121">
                  <c:v>3628</c:v>
                </c:pt>
                <c:pt idx="122">
                  <c:v>3416</c:v>
                </c:pt>
                <c:pt idx="123">
                  <c:v>3394</c:v>
                </c:pt>
                <c:pt idx="124">
                  <c:v>3643</c:v>
                </c:pt>
                <c:pt idx="125">
                  <c:v>3788</c:v>
                </c:pt>
                <c:pt idx="126">
                  <c:v>3762</c:v>
                </c:pt>
                <c:pt idx="127">
                  <c:v>3530</c:v>
                </c:pt>
                <c:pt idx="128">
                  <c:v>3239</c:v>
                </c:pt>
                <c:pt idx="129">
                  <c:v>3068</c:v>
                </c:pt>
                <c:pt idx="130">
                  <c:v>2962</c:v>
                </c:pt>
                <c:pt idx="131">
                  <c:v>3048</c:v>
                </c:pt>
                <c:pt idx="132">
                  <c:v>3073</c:v>
                </c:pt>
                <c:pt idx="133">
                  <c:v>2929</c:v>
                </c:pt>
                <c:pt idx="134">
                  <c:v>2664</c:v>
                </c:pt>
                <c:pt idx="135">
                  <c:v>2422</c:v>
                </c:pt>
                <c:pt idx="136">
                  <c:v>2197</c:v>
                </c:pt>
                <c:pt idx="137">
                  <c:v>2127</c:v>
                </c:pt>
                <c:pt idx="138">
                  <c:v>2272</c:v>
                </c:pt>
                <c:pt idx="139">
                  <c:v>2286</c:v>
                </c:pt>
                <c:pt idx="140">
                  <c:v>2173</c:v>
                </c:pt>
                <c:pt idx="141">
                  <c:v>1950</c:v>
                </c:pt>
                <c:pt idx="142">
                  <c:v>1802</c:v>
                </c:pt>
                <c:pt idx="143">
                  <c:v>1666</c:v>
                </c:pt>
                <c:pt idx="144">
                  <c:v>1645</c:v>
                </c:pt>
                <c:pt idx="145">
                  <c:v>1668</c:v>
                </c:pt>
                <c:pt idx="146">
                  <c:v>1649</c:v>
                </c:pt>
                <c:pt idx="147">
                  <c:v>1566</c:v>
                </c:pt>
                <c:pt idx="148">
                  <c:v>1344</c:v>
                </c:pt>
                <c:pt idx="149">
                  <c:v>1189</c:v>
                </c:pt>
                <c:pt idx="150">
                  <c:v>1061</c:v>
                </c:pt>
                <c:pt idx="151">
                  <c:v>956</c:v>
                </c:pt>
                <c:pt idx="152">
                  <c:v>1010</c:v>
                </c:pt>
                <c:pt idx="153">
                  <c:v>1040</c:v>
                </c:pt>
                <c:pt idx="154">
                  <c:v>988</c:v>
                </c:pt>
                <c:pt idx="155">
                  <c:v>920</c:v>
                </c:pt>
                <c:pt idx="156">
                  <c:v>891</c:v>
                </c:pt>
                <c:pt idx="157">
                  <c:v>808</c:v>
                </c:pt>
                <c:pt idx="158">
                  <c:v>822</c:v>
                </c:pt>
                <c:pt idx="159">
                  <c:v>864</c:v>
                </c:pt>
                <c:pt idx="160">
                  <c:v>909</c:v>
                </c:pt>
                <c:pt idx="161">
                  <c:v>969</c:v>
                </c:pt>
                <c:pt idx="162">
                  <c:v>890</c:v>
                </c:pt>
                <c:pt idx="163">
                  <c:v>816</c:v>
                </c:pt>
                <c:pt idx="164">
                  <c:v>786</c:v>
                </c:pt>
                <c:pt idx="165">
                  <c:v>796</c:v>
                </c:pt>
                <c:pt idx="166">
                  <c:v>808</c:v>
                </c:pt>
                <c:pt idx="167">
                  <c:v>845</c:v>
                </c:pt>
                <c:pt idx="168">
                  <c:v>834</c:v>
                </c:pt>
                <c:pt idx="169">
                  <c:v>801</c:v>
                </c:pt>
                <c:pt idx="170">
                  <c:v>768</c:v>
                </c:pt>
                <c:pt idx="171">
                  <c:v>698</c:v>
                </c:pt>
                <c:pt idx="172">
                  <c:v>698</c:v>
                </c:pt>
                <c:pt idx="173">
                  <c:v>737</c:v>
                </c:pt>
                <c:pt idx="174">
                  <c:v>723</c:v>
                </c:pt>
                <c:pt idx="175">
                  <c:v>698</c:v>
                </c:pt>
                <c:pt idx="176">
                  <c:v>692</c:v>
                </c:pt>
                <c:pt idx="177">
                  <c:v>674</c:v>
                </c:pt>
                <c:pt idx="178">
                  <c:v>654</c:v>
                </c:pt>
                <c:pt idx="179">
                  <c:v>686</c:v>
                </c:pt>
                <c:pt idx="180">
                  <c:v>760</c:v>
                </c:pt>
                <c:pt idx="181">
                  <c:v>820</c:v>
                </c:pt>
                <c:pt idx="182">
                  <c:v>831</c:v>
                </c:pt>
                <c:pt idx="183">
                  <c:v>806</c:v>
                </c:pt>
                <c:pt idx="184">
                  <c:v>808</c:v>
                </c:pt>
                <c:pt idx="185">
                  <c:v>757</c:v>
                </c:pt>
                <c:pt idx="186">
                  <c:v>756</c:v>
                </c:pt>
                <c:pt idx="187">
                  <c:v>798</c:v>
                </c:pt>
                <c:pt idx="188">
                  <c:v>740</c:v>
                </c:pt>
                <c:pt idx="189">
                  <c:v>646</c:v>
                </c:pt>
                <c:pt idx="190">
                  <c:v>810</c:v>
                </c:pt>
                <c:pt idx="191">
                  <c:v>711</c:v>
                </c:pt>
                <c:pt idx="192">
                  <c:v>617</c:v>
                </c:pt>
                <c:pt idx="193">
                  <c:v>828</c:v>
                </c:pt>
                <c:pt idx="194">
                  <c:v>1098</c:v>
                </c:pt>
                <c:pt idx="195">
                  <c:v>1114</c:v>
                </c:pt>
                <c:pt idx="196">
                  <c:v>1036</c:v>
                </c:pt>
                <c:pt idx="197">
                  <c:v>1345</c:v>
                </c:pt>
                <c:pt idx="198">
                  <c:v>1345</c:v>
                </c:pt>
                <c:pt idx="199">
                  <c:v>1345</c:v>
                </c:pt>
                <c:pt idx="200">
                  <c:v>1527</c:v>
                </c:pt>
                <c:pt idx="201">
                  <c:v>2002</c:v>
                </c:pt>
                <c:pt idx="202">
                  <c:v>2055</c:v>
                </c:pt>
                <c:pt idx="203">
                  <c:v>1778</c:v>
                </c:pt>
                <c:pt idx="204">
                  <c:v>2022</c:v>
                </c:pt>
                <c:pt idx="205">
                  <c:v>1979</c:v>
                </c:pt>
                <c:pt idx="206">
                  <c:v>1979</c:v>
                </c:pt>
                <c:pt idx="207">
                  <c:v>2160</c:v>
                </c:pt>
                <c:pt idx="208">
                  <c:v>3105</c:v>
                </c:pt>
                <c:pt idx="209">
                  <c:v>3190</c:v>
                </c:pt>
                <c:pt idx="210">
                  <c:v>2718</c:v>
                </c:pt>
                <c:pt idx="211">
                  <c:v>3124</c:v>
                </c:pt>
                <c:pt idx="212">
                  <c:v>3071</c:v>
                </c:pt>
                <c:pt idx="213">
                  <c:v>3071</c:v>
                </c:pt>
                <c:pt idx="214">
                  <c:v>3810</c:v>
                </c:pt>
                <c:pt idx="215">
                  <c:v>5101</c:v>
                </c:pt>
                <c:pt idx="216">
                  <c:v>5101</c:v>
                </c:pt>
                <c:pt idx="217">
                  <c:v>4515</c:v>
                </c:pt>
                <c:pt idx="218">
                  <c:v>5166</c:v>
                </c:pt>
                <c:pt idx="219">
                  <c:v>5081</c:v>
                </c:pt>
                <c:pt idx="220">
                  <c:v>5081</c:v>
                </c:pt>
                <c:pt idx="221">
                  <c:v>5759</c:v>
                </c:pt>
                <c:pt idx="222">
                  <c:v>7476</c:v>
                </c:pt>
                <c:pt idx="223">
                  <c:v>7476</c:v>
                </c:pt>
                <c:pt idx="224">
                  <c:v>6163</c:v>
                </c:pt>
                <c:pt idx="225">
                  <c:v>6822</c:v>
                </c:pt>
                <c:pt idx="226">
                  <c:v>6822</c:v>
                </c:pt>
                <c:pt idx="227">
                  <c:v>6822</c:v>
                </c:pt>
                <c:pt idx="228">
                  <c:v>6981</c:v>
                </c:pt>
                <c:pt idx="229">
                  <c:v>8973</c:v>
                </c:pt>
                <c:pt idx="230">
                  <c:v>8973</c:v>
                </c:pt>
                <c:pt idx="231">
                  <c:v>7414</c:v>
                </c:pt>
                <c:pt idx="232">
                  <c:v>7894</c:v>
                </c:pt>
                <c:pt idx="233">
                  <c:v>7894</c:v>
                </c:pt>
                <c:pt idx="234">
                  <c:v>7894</c:v>
                </c:pt>
                <c:pt idx="235">
                  <c:v>8299</c:v>
                </c:pt>
                <c:pt idx="236">
                  <c:v>10859</c:v>
                </c:pt>
                <c:pt idx="237">
                  <c:v>10859</c:v>
                </c:pt>
                <c:pt idx="238">
                  <c:v>9104</c:v>
                </c:pt>
                <c:pt idx="239">
                  <c:v>9755</c:v>
                </c:pt>
                <c:pt idx="240">
                  <c:v>9755</c:v>
                </c:pt>
                <c:pt idx="241">
                  <c:v>9755</c:v>
                </c:pt>
                <c:pt idx="242">
                  <c:v>9580</c:v>
                </c:pt>
                <c:pt idx="243">
                  <c:v>13223</c:v>
                </c:pt>
                <c:pt idx="244">
                  <c:v>13223</c:v>
                </c:pt>
                <c:pt idx="245">
                  <c:v>10868</c:v>
                </c:pt>
                <c:pt idx="246">
                  <c:v>11495</c:v>
                </c:pt>
                <c:pt idx="247">
                  <c:v>11495</c:v>
                </c:pt>
                <c:pt idx="248">
                  <c:v>11495</c:v>
                </c:pt>
                <c:pt idx="249">
                  <c:v>12059</c:v>
                </c:pt>
                <c:pt idx="250">
                  <c:v>14427</c:v>
                </c:pt>
                <c:pt idx="251">
                  <c:v>14427</c:v>
                </c:pt>
                <c:pt idx="252">
                  <c:v>12405</c:v>
                </c:pt>
                <c:pt idx="253">
                  <c:v>12778</c:v>
                </c:pt>
                <c:pt idx="254">
                  <c:v>12778</c:v>
                </c:pt>
                <c:pt idx="255">
                  <c:v>12778</c:v>
                </c:pt>
                <c:pt idx="256">
                  <c:v>13617</c:v>
                </c:pt>
                <c:pt idx="257">
                  <c:v>17501</c:v>
                </c:pt>
                <c:pt idx="258">
                  <c:v>17501</c:v>
                </c:pt>
                <c:pt idx="259">
                  <c:v>14294</c:v>
                </c:pt>
                <c:pt idx="260">
                  <c:v>17087</c:v>
                </c:pt>
                <c:pt idx="261">
                  <c:v>17087</c:v>
                </c:pt>
                <c:pt idx="262">
                  <c:v>17087</c:v>
                </c:pt>
                <c:pt idx="263">
                  <c:v>16704</c:v>
                </c:pt>
                <c:pt idx="264">
                  <c:v>20015</c:v>
                </c:pt>
                <c:pt idx="265">
                  <c:v>20015</c:v>
                </c:pt>
                <c:pt idx="266">
                  <c:v>15989</c:v>
                </c:pt>
                <c:pt idx="267">
                  <c:v>16590</c:v>
                </c:pt>
                <c:pt idx="268">
                  <c:v>16590</c:v>
                </c:pt>
                <c:pt idx="269">
                  <c:v>16590</c:v>
                </c:pt>
                <c:pt idx="270">
                  <c:v>14799</c:v>
                </c:pt>
                <c:pt idx="271">
                  <c:v>17818</c:v>
                </c:pt>
                <c:pt idx="272">
                  <c:v>17818</c:v>
                </c:pt>
                <c:pt idx="273">
                  <c:v>14185</c:v>
                </c:pt>
                <c:pt idx="274">
                  <c:v>14396</c:v>
                </c:pt>
                <c:pt idx="275">
                  <c:v>14396</c:v>
                </c:pt>
                <c:pt idx="276">
                  <c:v>14396</c:v>
                </c:pt>
                <c:pt idx="277">
                  <c:v>13240</c:v>
                </c:pt>
                <c:pt idx="278">
                  <c:v>16061</c:v>
                </c:pt>
                <c:pt idx="279">
                  <c:v>16061</c:v>
                </c:pt>
                <c:pt idx="280">
                  <c:v>12691</c:v>
                </c:pt>
                <c:pt idx="281">
                  <c:v>12740</c:v>
                </c:pt>
                <c:pt idx="282">
                  <c:v>12740</c:v>
                </c:pt>
                <c:pt idx="283">
                  <c:v>12740</c:v>
                </c:pt>
                <c:pt idx="284">
                  <c:v>11880</c:v>
                </c:pt>
                <c:pt idx="285">
                  <c:v>14296</c:v>
                </c:pt>
                <c:pt idx="286">
                  <c:v>14296</c:v>
                </c:pt>
                <c:pt idx="287">
                  <c:v>10967</c:v>
                </c:pt>
                <c:pt idx="288">
                  <c:v>10602</c:v>
                </c:pt>
                <c:pt idx="289">
                  <c:v>10602</c:v>
                </c:pt>
                <c:pt idx="290">
                  <c:v>10602</c:v>
                </c:pt>
                <c:pt idx="291">
                  <c:v>9419</c:v>
                </c:pt>
                <c:pt idx="292">
                  <c:v>11916</c:v>
                </c:pt>
                <c:pt idx="293">
                  <c:v>11916</c:v>
                </c:pt>
                <c:pt idx="294">
                  <c:v>9254</c:v>
                </c:pt>
                <c:pt idx="295">
                  <c:v>9278</c:v>
                </c:pt>
                <c:pt idx="296">
                  <c:v>9278</c:v>
                </c:pt>
                <c:pt idx="297">
                  <c:v>9278</c:v>
                </c:pt>
                <c:pt idx="298">
                  <c:v>8876</c:v>
                </c:pt>
                <c:pt idx="299">
                  <c:v>11405</c:v>
                </c:pt>
                <c:pt idx="300">
                  <c:v>11405</c:v>
                </c:pt>
                <c:pt idx="301">
                  <c:v>9520</c:v>
                </c:pt>
                <c:pt idx="302">
                  <c:v>9419</c:v>
                </c:pt>
                <c:pt idx="303">
                  <c:v>9419</c:v>
                </c:pt>
                <c:pt idx="304">
                  <c:v>9419</c:v>
                </c:pt>
                <c:pt idx="305">
                  <c:v>9732</c:v>
                </c:pt>
                <c:pt idx="306">
                  <c:v>12310</c:v>
                </c:pt>
                <c:pt idx="307">
                  <c:v>12310</c:v>
                </c:pt>
                <c:pt idx="308">
                  <c:v>10256</c:v>
                </c:pt>
                <c:pt idx="309">
                  <c:v>10671</c:v>
                </c:pt>
                <c:pt idx="310">
                  <c:v>10671</c:v>
                </c:pt>
                <c:pt idx="311">
                  <c:v>10671</c:v>
                </c:pt>
                <c:pt idx="312">
                  <c:v>11516</c:v>
                </c:pt>
                <c:pt idx="313">
                  <c:v>14342</c:v>
                </c:pt>
                <c:pt idx="314">
                  <c:v>14342</c:v>
                </c:pt>
                <c:pt idx="315">
                  <c:v>11589</c:v>
                </c:pt>
                <c:pt idx="316">
                  <c:v>12101</c:v>
                </c:pt>
                <c:pt idx="317">
                  <c:v>12101</c:v>
                </c:pt>
                <c:pt idx="318">
                  <c:v>12101</c:v>
                </c:pt>
                <c:pt idx="319">
                  <c:v>12131</c:v>
                </c:pt>
                <c:pt idx="320">
                  <c:v>15354</c:v>
                </c:pt>
                <c:pt idx="321">
                  <c:v>15354</c:v>
                </c:pt>
                <c:pt idx="322">
                  <c:v>12113</c:v>
                </c:pt>
                <c:pt idx="323">
                  <c:v>13163</c:v>
                </c:pt>
                <c:pt idx="324">
                  <c:v>13163</c:v>
                </c:pt>
                <c:pt idx="325">
                  <c:v>13163</c:v>
                </c:pt>
                <c:pt idx="326">
                  <c:v>13343</c:v>
                </c:pt>
                <c:pt idx="327">
                  <c:v>16754</c:v>
                </c:pt>
                <c:pt idx="328">
                  <c:v>16754</c:v>
                </c:pt>
                <c:pt idx="329">
                  <c:v>13780</c:v>
                </c:pt>
                <c:pt idx="330">
                  <c:v>10557</c:v>
                </c:pt>
                <c:pt idx="331">
                  <c:v>13097</c:v>
                </c:pt>
                <c:pt idx="332">
                  <c:v>13097</c:v>
                </c:pt>
                <c:pt idx="333">
                  <c:v>11821</c:v>
                </c:pt>
                <c:pt idx="334">
                  <c:v>16423</c:v>
                </c:pt>
                <c:pt idx="335">
                  <c:v>16423</c:v>
                </c:pt>
                <c:pt idx="336">
                  <c:v>13153</c:v>
                </c:pt>
                <c:pt idx="337">
                  <c:v>14305</c:v>
                </c:pt>
                <c:pt idx="338">
                  <c:v>14305</c:v>
                </c:pt>
                <c:pt idx="339">
                  <c:v>14305</c:v>
                </c:pt>
                <c:pt idx="340">
                  <c:v>18420</c:v>
                </c:pt>
                <c:pt idx="341">
                  <c:v>19575</c:v>
                </c:pt>
                <c:pt idx="342">
                  <c:v>19575</c:v>
                </c:pt>
                <c:pt idx="343">
                  <c:v>20346</c:v>
                </c:pt>
                <c:pt idx="344">
                  <c:v>16227</c:v>
                </c:pt>
                <c:pt idx="345">
                  <c:v>16227</c:v>
                </c:pt>
                <c:pt idx="346">
                  <c:v>16227</c:v>
                </c:pt>
                <c:pt idx="347">
                  <c:v>15019</c:v>
                </c:pt>
                <c:pt idx="348">
                  <c:v>18784</c:v>
                </c:pt>
                <c:pt idx="349">
                  <c:v>18784</c:v>
                </c:pt>
                <c:pt idx="350">
                  <c:v>14669</c:v>
                </c:pt>
                <c:pt idx="351">
                  <c:v>14596</c:v>
                </c:pt>
                <c:pt idx="352">
                  <c:v>14596</c:v>
                </c:pt>
                <c:pt idx="353">
                  <c:v>11225</c:v>
                </c:pt>
                <c:pt idx="354">
                  <c:v>14064</c:v>
                </c:pt>
                <c:pt idx="355">
                  <c:v>17668</c:v>
                </c:pt>
                <c:pt idx="356">
                  <c:v>17668</c:v>
                </c:pt>
                <c:pt idx="357">
                  <c:v>14313</c:v>
                </c:pt>
                <c:pt idx="358">
                  <c:v>10548</c:v>
                </c:pt>
                <c:pt idx="359">
                  <c:v>10548</c:v>
                </c:pt>
                <c:pt idx="360">
                  <c:v>14590</c:v>
                </c:pt>
                <c:pt idx="361">
                  <c:v>13441</c:v>
                </c:pt>
                <c:pt idx="362">
                  <c:v>18472</c:v>
                </c:pt>
                <c:pt idx="363">
                  <c:v>18472</c:v>
                </c:pt>
                <c:pt idx="364">
                  <c:v>15150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2F-47B4-8E68-F86B160AA5D8}"/>
            </c:ext>
          </c:extLst>
        </c:ser>
        <c:ser>
          <c:idx val="1"/>
          <c:order val="1"/>
          <c:tx>
            <c:strRef>
              <c:f>Sheet1!$L$3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Sheet1!$L$4:$L$368</c:f>
              <c:numCache>
                <c:formatCode>General</c:formatCode>
                <c:ptCount val="365"/>
                <c:pt idx="0">
                  <c:v>12686</c:v>
                </c:pt>
                <c:pt idx="1">
                  <c:v>12636.590206091763</c:v>
                </c:pt>
                <c:pt idx="2">
                  <c:v>12582.884678189561</c:v>
                </c:pt>
                <c:pt idx="3">
                  <c:v>12524.956775212295</c:v>
                </c:pt>
                <c:pt idx="4">
                  <c:v>12462.883900930938</c:v>
                </c:pt>
                <c:pt idx="5">
                  <c:v>12396.747335048345</c:v>
                </c:pt>
                <c:pt idx="6">
                  <c:v>12326.632059017453</c:v>
                </c:pt>
                <c:pt idx="7">
                  <c:v>12252.626577118552</c:v>
                </c:pt>
                <c:pt idx="8">
                  <c:v>12174.822733320338</c:v>
                </c:pt>
                <c:pt idx="9">
                  <c:v>12093.315524451429</c:v>
                </c:pt>
                <c:pt idx="10">
                  <c:v>12008.202910209076</c:v>
                </c:pt>
                <c:pt idx="11">
                  <c:v>11919.585620529993</c:v>
                </c:pt>
                <c:pt idx="12">
                  <c:v>11827.566960844573</c:v>
                </c:pt>
                <c:pt idx="13">
                  <c:v>11732.252615730347</c:v>
                </c:pt>
                <c:pt idx="14">
                  <c:v>11633.750451473441</c:v>
                </c:pt>
                <c:pt idx="15">
                  <c:v>11532.170318038052</c:v>
                </c:pt>
                <c:pt idx="16">
                  <c:v>11427.623850933804</c:v>
                </c:pt>
                <c:pt idx="17">
                  <c:v>11320.224273459065</c:v>
                </c:pt>
                <c:pt idx="18">
                  <c:v>11210.086199785388</c:v>
                </c:pt>
                <c:pt idx="19">
                  <c:v>11097.325439333908</c:v>
                </c:pt>
                <c:pt idx="20">
                  <c:v>10982.058802879152</c:v>
                </c:pt>
                <c:pt idx="21">
                  <c:v>10864.403910799236</c:v>
                </c:pt>
                <c:pt idx="22">
                  <c:v>10744.479003874019</c:v>
                </c:pt>
                <c:pt idx="23">
                  <c:v>10622.402757014526</c:v>
                </c:pt>
                <c:pt idx="24">
                  <c:v>10498.294096287966</c:v>
                </c:pt>
                <c:pt idx="25">
                  <c:v>10372.272019583017</c:v>
                </c:pt>
                <c:pt idx="26">
                  <c:v>10244.4554212399</c:v>
                </c:pt>
                <c:pt idx="27">
                  <c:v>10114.962920949132</c:v>
                </c:pt>
                <c:pt idx="28">
                  <c:v>9983.9126972019167</c:v>
                </c:pt>
                <c:pt idx="29">
                  <c:v>9851.4223255539146</c:v>
                </c:pt>
                <c:pt idx="30">
                  <c:v>9717.6086219428216</c:v>
                </c:pt>
                <c:pt idx="31">
                  <c:v>9628.6101438778514</c:v>
                </c:pt>
                <c:pt idx="32">
                  <c:v>9535.7263431894007</c:v>
                </c:pt>
                <c:pt idx="33">
                  <c:v>9439.1111718954435</c:v>
                </c:pt>
                <c:pt idx="34">
                  <c:v>9338.9217342761385</c:v>
                </c:pt>
                <c:pt idx="35">
                  <c:v>9235.317885844086</c:v>
                </c:pt>
                <c:pt idx="36">
                  <c:v>9128.4618345065046</c:v>
                </c:pt>
                <c:pt idx="37">
                  <c:v>9018.517745186673</c:v>
                </c:pt>
                <c:pt idx="38">
                  <c:v>8905.651349118576</c:v>
                </c:pt>
                <c:pt idx="39">
                  <c:v>8790.0295589714606</c:v>
                </c:pt>
                <c:pt idx="40">
                  <c:v>8671.8200909004699</c:v>
                </c:pt>
                <c:pt idx="41">
                  <c:v>8551.191094556043</c:v>
                </c:pt>
                <c:pt idx="42">
                  <c:v>8428.3107920189177</c:v>
                </c:pt>
                <c:pt idx="43">
                  <c:v>8303.3471265597018</c:v>
                </c:pt>
                <c:pt idx="44">
                  <c:v>8176.4674220526367</c:v>
                </c:pt>
                <c:pt idx="45">
                  <c:v>8047.8380538027168</c:v>
                </c:pt>
                <c:pt idx="46">
                  <c:v>7917.6241314741856</c:v>
                </c:pt>
                <c:pt idx="47">
                  <c:v>7785.9891947371107</c:v>
                </c:pt>
                <c:pt idx="48">
                  <c:v>7653.0949221774235</c:v>
                </c:pt>
                <c:pt idx="49">
                  <c:v>7519.1008539451032</c:v>
                </c:pt>
                <c:pt idx="50">
                  <c:v>7384.164128545237</c:v>
                </c:pt>
                <c:pt idx="51">
                  <c:v>7248.4392341079556</c:v>
                </c:pt>
                <c:pt idx="52">
                  <c:v>7112.0777744059233</c:v>
                </c:pt>
                <c:pt idx="53">
                  <c:v>6975.2282498225077</c:v>
                </c:pt>
                <c:pt idx="54">
                  <c:v>6838.0358534101906</c:v>
                </c:pt>
                <c:pt idx="55">
                  <c:v>6700.6422821173765</c:v>
                </c:pt>
                <c:pt idx="56">
                  <c:v>6563.1855632028364</c:v>
                </c:pt>
                <c:pt idx="57">
                  <c:v>6425.7998958006092</c:v>
                </c:pt>
                <c:pt idx="58">
                  <c:v>6288.6155075445558</c:v>
                </c:pt>
                <c:pt idx="59">
                  <c:v>6357.0218714706243</c:v>
                </c:pt>
                <c:pt idx="60">
                  <c:v>6421.1560969555985</c:v>
                </c:pt>
                <c:pt idx="61">
                  <c:v>6480.9041740754383</c:v>
                </c:pt>
                <c:pt idx="62">
                  <c:v>6536.1621174474913</c:v>
                </c:pt>
                <c:pt idx="63">
                  <c:v>6586.8362610441927</c:v>
                </c:pt>
                <c:pt idx="64">
                  <c:v>6632.8435106066772</c:v>
                </c:pt>
                <c:pt idx="65">
                  <c:v>6674.1115528289174</c:v>
                </c:pt>
                <c:pt idx="66">
                  <c:v>6710.5790207404507</c:v>
                </c:pt>
                <c:pt idx="67">
                  <c:v>6742.1956149732596</c:v>
                </c:pt>
                <c:pt idx="68">
                  <c:v>6768.9221808539933</c:v>
                </c:pt>
                <c:pt idx="69">
                  <c:v>6790.7307415144023</c:v>
                </c:pt>
                <c:pt idx="70">
                  <c:v>6807.6044874588679</c:v>
                </c:pt>
                <c:pt idx="71">
                  <c:v>6819.5377232663413</c:v>
                </c:pt>
                <c:pt idx="72">
                  <c:v>6826.5357723333027</c:v>
                </c:pt>
                <c:pt idx="73">
                  <c:v>6828.6148407828314</c:v>
                </c:pt>
                <c:pt idx="74">
                  <c:v>6825.8018418712736</c:v>
                </c:pt>
                <c:pt idx="75">
                  <c:v>6818.1341824169131</c:v>
                </c:pt>
                <c:pt idx="76">
                  <c:v>6805.6595129534217</c:v>
                </c:pt>
                <c:pt idx="77">
                  <c:v>6788.4354434737552</c:v>
                </c:pt>
                <c:pt idx="78">
                  <c:v>6766.5292267767163</c:v>
                </c:pt>
                <c:pt idx="79">
                  <c:v>6740.0174115580512</c:v>
                </c:pt>
                <c:pt idx="80">
                  <c:v>6708.9854675002061</c:v>
                </c:pt>
                <c:pt idx="81">
                  <c:v>6673.5273847094113</c:v>
                </c:pt>
                <c:pt idx="82">
                  <c:v>6633.7452499255251</c:v>
                </c:pt>
                <c:pt idx="83">
                  <c:v>6589.7488019890261</c:v>
                </c:pt>
                <c:pt idx="84">
                  <c:v>6541.6549690908605</c:v>
                </c:pt>
                <c:pt idx="85">
                  <c:v>6489.5873903549182</c:v>
                </c:pt>
                <c:pt idx="86">
                  <c:v>6433.6759243100814</c:v>
                </c:pt>
                <c:pt idx="87">
                  <c:v>6374.0561467997522</c:v>
                </c:pt>
                <c:pt idx="88">
                  <c:v>6310.8688408520857</c:v>
                </c:pt>
                <c:pt idx="89">
                  <c:v>6244.2594809947404</c:v>
                </c:pt>
                <c:pt idx="90">
                  <c:v>6256.4203209809257</c:v>
                </c:pt>
                <c:pt idx="91">
                  <c:v>6263.0902971155647</c:v>
                </c:pt>
                <c:pt idx="92">
                  <c:v>6264.2942509918057</c:v>
                </c:pt>
                <c:pt idx="93">
                  <c:v>6260.0713469782004</c:v>
                </c:pt>
                <c:pt idx="94">
                  <c:v>6250.4747124749447</c:v>
                </c:pt>
                <c:pt idx="95">
                  <c:v>6235.5710214044002</c:v>
                </c:pt>
                <c:pt idx="96">
                  <c:v>6215.4400246128716</c:v>
                </c:pt>
                <c:pt idx="97">
                  <c:v>6190.1740311095655</c:v>
                </c:pt>
                <c:pt idx="98">
                  <c:v>6159.8773442789652</c:v>
                </c:pt>
                <c:pt idx="99">
                  <c:v>6124.6656573742148</c:v>
                </c:pt>
                <c:pt idx="100">
                  <c:v>6084.6654127312868</c:v>
                </c:pt>
                <c:pt idx="101">
                  <c:v>6040.0131292371852</c:v>
                </c:pt>
                <c:pt idx="102">
                  <c:v>5990.8547026408814</c:v>
                </c:pt>
                <c:pt idx="103">
                  <c:v>5937.3446833142152</c:v>
                </c:pt>
                <c:pt idx="104">
                  <c:v>5879.6455360529662</c:v>
                </c:pt>
                <c:pt idx="105">
                  <c:v>5817.9268864575006</c:v>
                </c:pt>
                <c:pt idx="106">
                  <c:v>5752.364758349685</c:v>
                </c:pt>
                <c:pt idx="107">
                  <c:v>5683.1408065703899</c:v>
                </c:pt>
                <c:pt idx="108">
                  <c:v>5610.4415493621855</c:v>
                </c:pt>
                <c:pt idx="109">
                  <c:v>5534.4576043772913</c:v>
                </c:pt>
                <c:pt idx="110">
                  <c:v>5455.3829321640997</c:v>
                </c:pt>
                <c:pt idx="111">
                  <c:v>5373.4140907793289</c:v>
                </c:pt>
                <c:pt idx="112">
                  <c:v>5288.7495049497902</c:v>
                </c:pt>
                <c:pt idx="113">
                  <c:v>5201.5887529706697</c:v>
                </c:pt>
                <c:pt idx="114">
                  <c:v>5112.1318742787644</c:v>
                </c:pt>
                <c:pt idx="115">
                  <c:v>5020.5787003820005</c:v>
                </c:pt>
                <c:pt idx="116">
                  <c:v>4927.1282115633467</c:v>
                </c:pt>
                <c:pt idx="117">
                  <c:v>4831.977921510429</c:v>
                </c:pt>
                <c:pt idx="118">
                  <c:v>4735.3232917541027</c:v>
                </c:pt>
                <c:pt idx="119">
                  <c:v>4637.3571775321689</c:v>
                </c:pt>
                <c:pt idx="120">
                  <c:v>4518.2684780265708</c:v>
                </c:pt>
                <c:pt idx="121">
                  <c:v>4400.8866072568089</c:v>
                </c:pt>
                <c:pt idx="122">
                  <c:v>4285.2453221315163</c:v>
                </c:pt>
                <c:pt idx="123">
                  <c:v>4171.3752958157911</c:v>
                </c:pt>
                <c:pt idx="124">
                  <c:v>4059.3041860929829</c:v>
                </c:pt>
                <c:pt idx="125">
                  <c:v>3949.0567066568169</c:v>
                </c:pt>
                <c:pt idx="126">
                  <c:v>3840.6547010388854</c:v>
                </c:pt>
                <c:pt idx="127">
                  <c:v>3734.1172188839346</c:v>
                </c:pt>
                <c:pt idx="128">
                  <c:v>3629.460594293213</c:v>
                </c:pt>
                <c:pt idx="129">
                  <c:v>3526.6985259645007</c:v>
                </c:pt>
                <c:pt idx="130">
                  <c:v>3425.8421588661299</c:v>
                </c:pt>
                <c:pt idx="131">
                  <c:v>3326.9001671913848</c:v>
                </c:pt>
                <c:pt idx="132">
                  <c:v>3229.8788383489969</c:v>
                </c:pt>
                <c:pt idx="133">
                  <c:v>3134.7821577550362</c:v>
                </c:pt>
                <c:pt idx="134">
                  <c:v>3041.6118942012558</c:v>
                </c:pt>
                <c:pt idx="135">
                  <c:v>2950.3676855848516</c:v>
                </c:pt>
                <c:pt idx="136">
                  <c:v>2861.0471247946007</c:v>
                </c:pt>
                <c:pt idx="137">
                  <c:v>2773.6458455583956</c:v>
                </c:pt>
                <c:pt idx="138">
                  <c:v>2688.1576080672694</c:v>
                </c:pt>
                <c:pt idx="139">
                  <c:v>2604.574384201062</c:v>
                </c:pt>
                <c:pt idx="140">
                  <c:v>2522.8864421908893</c:v>
                </c:pt>
                <c:pt idx="141">
                  <c:v>2443.0824305635001</c:v>
                </c:pt>
                <c:pt idx="142">
                  <c:v>2365.1494612224328</c:v>
                </c:pt>
                <c:pt idx="143">
                  <c:v>2289.0731915305569</c:v>
                </c:pt>
                <c:pt idx="144">
                  <c:v>2214.8379052681175</c:v>
                </c:pt>
                <c:pt idx="145">
                  <c:v>2142.4265923497542</c:v>
                </c:pt>
                <c:pt idx="146">
                  <c:v>2071.8210271930975</c:v>
                </c:pt>
                <c:pt idx="147">
                  <c:v>2003.0018456404935</c:v>
                </c:pt>
                <c:pt idx="148">
                  <c:v>1935.9486203441061</c:v>
                </c:pt>
                <c:pt idx="149">
                  <c:v>1870.6399345330983</c:v>
                </c:pt>
                <c:pt idx="150">
                  <c:v>1807.0534540897997</c:v>
                </c:pt>
                <c:pt idx="151">
                  <c:v>1801.9385505663604</c:v>
                </c:pt>
                <c:pt idx="152">
                  <c:v>1796.498337894606</c:v>
                </c:pt>
                <c:pt idx="153">
                  <c:v>1790.7365163732729</c:v>
                </c:pt>
                <c:pt idx="154">
                  <c:v>1784.6569535342082</c:v>
                </c:pt>
                <c:pt idx="155">
                  <c:v>1778.2636798610863</c:v>
                </c:pt>
                <c:pt idx="156">
                  <c:v>1771.5608843779187</c:v>
                </c:pt>
                <c:pt idx="157">
                  <c:v>1764.5529101141328</c:v>
                </c:pt>
                <c:pt idx="158">
                  <c:v>1757.2442494531151</c:v>
                </c:pt>
                <c:pt idx="159">
                  <c:v>1749.6395393712055</c:v>
                </c:pt>
                <c:pt idx="160">
                  <c:v>1741.7435565742139</c:v>
                </c:pt>
                <c:pt idx="161">
                  <c:v>1733.5612125386024</c:v>
                </c:pt>
                <c:pt idx="162">
                  <c:v>1725.0975484645303</c:v>
                </c:pt>
                <c:pt idx="163">
                  <c:v>1716.3577301480047</c:v>
                </c:pt>
                <c:pt idx="164">
                  <c:v>1707.3470427794041</c:v>
                </c:pt>
                <c:pt idx="165">
                  <c:v>1698.0708856756648</c:v>
                </c:pt>
                <c:pt idx="166">
                  <c:v>1688.5347669534194</c:v>
                </c:pt>
                <c:pt idx="167">
                  <c:v>1678.7442981503666</c:v>
                </c:pt>
                <c:pt idx="168">
                  <c:v>1668.7051888021308</c:v>
                </c:pt>
                <c:pt idx="169">
                  <c:v>1658.4232409818367</c:v>
                </c:pt>
                <c:pt idx="170">
                  <c:v>1647.9043438095719</c:v>
                </c:pt>
                <c:pt idx="171">
                  <c:v>1637.154467938861</c:v>
                </c:pt>
                <c:pt idx="172">
                  <c:v>1626.1796600271941</c:v>
                </c:pt>
                <c:pt idx="173">
                  <c:v>1614.9860371975817</c:v>
                </c:pt>
                <c:pt idx="174">
                  <c:v>1603.579781498009</c:v>
                </c:pt>
                <c:pt idx="175">
                  <c:v>1591.9671343655652</c:v>
                </c:pt>
                <c:pt idx="176">
                  <c:v>1580.1543911019087</c:v>
                </c:pt>
                <c:pt idx="177">
                  <c:v>1568.1478953666087</c:v>
                </c:pt>
                <c:pt idx="178">
                  <c:v>1555.9540336947744</c:v>
                </c:pt>
                <c:pt idx="179">
                  <c:v>1543.5792300452392</c:v>
                </c:pt>
                <c:pt idx="180">
                  <c:v>1531.0299403854297</c:v>
                </c:pt>
                <c:pt idx="181">
                  <c:v>1609.8838469809202</c:v>
                </c:pt>
                <c:pt idx="182">
                  <c:v>1692.3608269832255</c:v>
                </c:pt>
                <c:pt idx="183">
                  <c:v>1778.6007756502522</c:v>
                </c:pt>
                <c:pt idx="184">
                  <c:v>1868.7473307618975</c:v>
                </c:pt>
                <c:pt idx="185">
                  <c:v>1962.9478567954088</c:v>
                </c:pt>
                <c:pt idx="186">
                  <c:v>2061.3534179244243</c:v>
                </c:pt>
                <c:pt idx="187">
                  <c:v>2164.1187388964481</c:v>
                </c:pt>
                <c:pt idx="188">
                  <c:v>2271.4021527964965</c:v>
                </c:pt>
                <c:pt idx="189">
                  <c:v>2383.3655346575156</c:v>
                </c:pt>
                <c:pt idx="190">
                  <c:v>2500.174219831194</c:v>
                </c:pt>
                <c:pt idx="191">
                  <c:v>2621.9969059863606</c:v>
                </c:pt>
                <c:pt idx="192">
                  <c:v>2749.005537556664</c:v>
                </c:pt>
                <c:pt idx="193">
                  <c:v>2881.3751714151294</c:v>
                </c:pt>
                <c:pt idx="194">
                  <c:v>3019.2838225110063</c:v>
                </c:pt>
                <c:pt idx="195">
                  <c:v>3162.9122881646203</c:v>
                </c:pt>
                <c:pt idx="196">
                  <c:v>3312.4439496793757</c:v>
                </c:pt>
                <c:pt idx="197">
                  <c:v>3468.0645498973086</c:v>
                </c:pt>
                <c:pt idx="198">
                  <c:v>3629.9619452964666</c:v>
                </c:pt>
                <c:pt idx="199">
                  <c:v>3798.3258312057028</c:v>
                </c:pt>
                <c:pt idx="200">
                  <c:v>3973.3474386961798</c:v>
                </c:pt>
                <c:pt idx="201">
                  <c:v>4155.219201699947</c:v>
                </c:pt>
                <c:pt idx="202">
                  <c:v>4344.1343929054938</c:v>
                </c:pt>
                <c:pt idx="203">
                  <c:v>4540.2867269892995</c:v>
                </c:pt>
                <c:pt idx="204">
                  <c:v>4743.8699297623934</c:v>
                </c:pt>
                <c:pt idx="205">
                  <c:v>4955.0772718430326</c:v>
                </c:pt>
                <c:pt idx="206">
                  <c:v>5174.1010655122236</c:v>
                </c:pt>
                <c:pt idx="207">
                  <c:v>5401.1321234693751</c:v>
                </c:pt>
                <c:pt idx="208">
                  <c:v>5636.3591782823733</c:v>
                </c:pt>
                <c:pt idx="209">
                  <c:v>5879.9682614213089</c:v>
                </c:pt>
                <c:pt idx="210">
                  <c:v>6132.1420408796057</c:v>
                </c:pt>
                <c:pt idx="211">
                  <c:v>6393.0591165218875</c:v>
                </c:pt>
                <c:pt idx="212">
                  <c:v>6605.3230571450995</c:v>
                </c:pt>
                <c:pt idx="213">
                  <c:v>6821.3945025574185</c:v>
                </c:pt>
                <c:pt idx="214">
                  <c:v>7041.1767154393565</c:v>
                </c:pt>
                <c:pt idx="215">
                  <c:v>7264.5629946416257</c:v>
                </c:pt>
                <c:pt idx="216">
                  <c:v>7491.4365095925959</c:v>
                </c:pt>
                <c:pt idx="217">
                  <c:v>7721.6701587532034</c:v>
                </c:pt>
                <c:pt idx="218">
                  <c:v>7955.1264539645235</c:v>
                </c:pt>
                <c:pt idx="219">
                  <c:v>8191.6574325113916</c:v>
                </c:pt>
                <c:pt idx="220">
                  <c:v>8431.1045986904046</c:v>
                </c:pt>
                <c:pt idx="221">
                  <c:v>8673.2988966216908</c:v>
                </c:pt>
                <c:pt idx="222">
                  <c:v>8918.0607159803512</c:v>
                </c:pt>
                <c:pt idx="223">
                  <c:v>9165.1999322448519</c:v>
                </c:pt>
                <c:pt idx="224">
                  <c:v>9414.5159829654967</c:v>
                </c:pt>
                <c:pt idx="225">
                  <c:v>9665.7979814460541</c:v>
                </c:pt>
                <c:pt idx="226">
                  <c:v>9918.8248691054414</c:v>
                </c:pt>
                <c:pt idx="227">
                  <c:v>10173.365607644066</c:v>
                </c:pt>
                <c:pt idx="228">
                  <c:v>10429.179411981075</c:v>
                </c:pt>
                <c:pt idx="229">
                  <c:v>10686.016024754595</c:v>
                </c:pt>
                <c:pt idx="230">
                  <c:v>10943.616032987597</c:v>
                </c:pt>
                <c:pt idx="231">
                  <c:v>11201.711227317823</c:v>
                </c:pt>
                <c:pt idx="232">
                  <c:v>11460.025003972249</c:v>
                </c:pt>
                <c:pt idx="233">
                  <c:v>11718.27280943563</c:v>
                </c:pt>
                <c:pt idx="234">
                  <c:v>11976.162627520316</c:v>
                </c:pt>
                <c:pt idx="235">
                  <c:v>12233.395508291878</c:v>
                </c:pt>
                <c:pt idx="236">
                  <c:v>12489.666138043965</c:v>
                </c:pt>
                <c:pt idx="237">
                  <c:v>12744.663449247999</c:v>
                </c:pt>
                <c:pt idx="238">
                  <c:v>12998.071269130662</c:v>
                </c:pt>
                <c:pt idx="239">
                  <c:v>13249.569005257075</c:v>
                </c:pt>
                <c:pt idx="240">
                  <c:v>13498.832366222052</c:v>
                </c:pt>
                <c:pt idx="241">
                  <c:v>13745.534115278568</c:v>
                </c:pt>
                <c:pt idx="242">
                  <c:v>13989.344854463985</c:v>
                </c:pt>
                <c:pt idx="243">
                  <c:v>14063.003131725114</c:v>
                </c:pt>
                <c:pt idx="244">
                  <c:v>14131.853920837664</c:v>
                </c:pt>
                <c:pt idx="245">
                  <c:v>14195.827367858417</c:v>
                </c:pt>
                <c:pt idx="246">
                  <c:v>14254.859588450325</c:v>
                </c:pt>
                <c:pt idx="247">
                  <c:v>14308.892794422289</c:v>
                </c:pt>
                <c:pt idx="248">
                  <c:v>14357.875405298526</c:v>
                </c:pt>
                <c:pt idx="249">
                  <c:v>14401.762144554637</c:v>
                </c:pt>
                <c:pt idx="250">
                  <c:v>14440.514120220885</c:v>
                </c:pt>
                <c:pt idx="251">
                  <c:v>14474.098889617911</c:v>
                </c:pt>
                <c:pt idx="252">
                  <c:v>14502.490508055982</c:v>
                </c:pt>
                <c:pt idx="253">
                  <c:v>14525.669561395167</c:v>
                </c:pt>
                <c:pt idx="254">
                  <c:v>14543.623182430465</c:v>
                </c:pt>
                <c:pt idx="255">
                  <c:v>14556.345051132223</c:v>
                </c:pt>
                <c:pt idx="256">
                  <c:v>14563.835378837826</c:v>
                </c:pt>
                <c:pt idx="257">
                  <c:v>14566.100876555376</c:v>
                </c:pt>
                <c:pt idx="258">
                  <c:v>14563.154707603164</c:v>
                </c:pt>
                <c:pt idx="259">
                  <c:v>14555.016424870259</c:v>
                </c:pt>
                <c:pt idx="260">
                  <c:v>14541.711893042731</c:v>
                </c:pt>
                <c:pt idx="261">
                  <c:v>14523.273196196762</c:v>
                </c:pt>
                <c:pt idx="262">
                  <c:v>14499.738531213892</c:v>
                </c:pt>
                <c:pt idx="263">
                  <c:v>14471.152087524517</c:v>
                </c:pt>
                <c:pt idx="264">
                  <c:v>14437.563913733229</c:v>
                </c:pt>
                <c:pt idx="265">
                  <c:v>14399.029771723634</c:v>
                </c:pt>
                <c:pt idx="266">
                  <c:v>14355.61097888041</c:v>
                </c:pt>
                <c:pt idx="267">
                  <c:v>14307.374239102704</c:v>
                </c:pt>
                <c:pt idx="268">
                  <c:v>14254.391463315145</c:v>
                </c:pt>
                <c:pt idx="269">
                  <c:v>14196.739580210837</c:v>
                </c:pt>
                <c:pt idx="270">
                  <c:v>14134.500337984562</c:v>
                </c:pt>
                <c:pt idx="271">
                  <c:v>14067.760097833976</c:v>
                </c:pt>
                <c:pt idx="272">
                  <c:v>13996.609620021934</c:v>
                </c:pt>
                <c:pt idx="273">
                  <c:v>13912.129324678051</c:v>
                </c:pt>
                <c:pt idx="274">
                  <c:v>13823.922576527199</c:v>
                </c:pt>
                <c:pt idx="275">
                  <c:v>13732.09115986122</c:v>
                </c:pt>
                <c:pt idx="276">
                  <c:v>13636.739408396319</c:v>
                </c:pt>
                <c:pt idx="277">
                  <c:v>13537.97399412087</c:v>
                </c:pt>
                <c:pt idx="278">
                  <c:v>13435.903715607092</c:v>
                </c:pt>
                <c:pt idx="279">
                  <c:v>13330.639286397251</c:v>
                </c:pt>
                <c:pt idx="280">
                  <c:v>13222.293124056752</c:v>
                </c:pt>
                <c:pt idx="281">
                  <c:v>13110.979140466214</c:v>
                </c:pt>
                <c:pt idx="282">
                  <c:v>12996.812533902425</c:v>
                </c:pt>
                <c:pt idx="283">
                  <c:v>12879.909583434386</c:v>
                </c:pt>
                <c:pt idx="284">
                  <c:v>12760.387446135444</c:v>
                </c:pt>
                <c:pt idx="285">
                  <c:v>12638.363957586036</c:v>
                </c:pt>
                <c:pt idx="286">
                  <c:v>12513.957436114162</c:v>
                </c:pt>
                <c:pt idx="287">
                  <c:v>12387.286491192273</c:v>
                </c:pt>
                <c:pt idx="288">
                  <c:v>12258.46983638028</c:v>
                </c:pt>
                <c:pt idx="289">
                  <c:v>12127.626107174847</c:v>
                </c:pt>
                <c:pt idx="290">
                  <c:v>11994.873684095277</c:v>
                </c:pt>
                <c:pt idx="291">
                  <c:v>11860.330521306312</c:v>
                </c:pt>
                <c:pt idx="292">
                  <c:v>11724.113981048153</c:v>
                </c:pt>
                <c:pt idx="293">
                  <c:v>11586.340674114168</c:v>
                </c:pt>
                <c:pt idx="294">
                  <c:v>11447.126306587261</c:v>
                </c:pt>
                <c:pt idx="295">
                  <c:v>11306.585533016681</c:v>
                </c:pt>
                <c:pt idx="296">
                  <c:v>11164.831816188647</c:v>
                </c:pt>
                <c:pt idx="297">
                  <c:v>11021.977293616137</c:v>
                </c:pt>
                <c:pt idx="298">
                  <c:v>10878.132650846259</c:v>
                </c:pt>
                <c:pt idx="299">
                  <c:v>10733.407001657271</c:v>
                </c:pt>
                <c:pt idx="300">
                  <c:v>10587.907775192141</c:v>
                </c:pt>
                <c:pt idx="301">
                  <c:v>10441.740610051249</c:v>
                </c:pt>
                <c:pt idx="302">
                  <c:v>10295.009255343697</c:v>
                </c:pt>
                <c:pt idx="303">
                  <c:v>10147.815478674685</c:v>
                </c:pt>
                <c:pt idx="304">
                  <c:v>10294.067511775515</c:v>
                </c:pt>
                <c:pt idx="305">
                  <c:v>10435.742852676143</c:v>
                </c:pt>
                <c:pt idx="306">
                  <c:v>10572.604650367171</c:v>
                </c:pt>
                <c:pt idx="307">
                  <c:v>10704.423549620024</c:v>
                </c:pt>
                <c:pt idx="308">
                  <c:v>10830.978428448427</c:v>
                </c:pt>
                <c:pt idx="309">
                  <c:v>10952.057110428064</c:v>
                </c:pt>
                <c:pt idx="310">
                  <c:v>11067.457048105018</c:v>
                </c:pt>
                <c:pt idx="311">
                  <c:v>11176.985973869541</c:v>
                </c:pt>
                <c:pt idx="312">
                  <c:v>11280.462514847013</c:v>
                </c:pt>
                <c:pt idx="313">
                  <c:v>11377.716768561073</c:v>
                </c:pt>
                <c:pt idx="314">
                  <c:v>11468.590836353429</c:v>
                </c:pt>
                <c:pt idx="315">
                  <c:v>11552.939311798455</c:v>
                </c:pt>
                <c:pt idx="316">
                  <c:v>11630.629721626367</c:v>
                </c:pt>
                <c:pt idx="317">
                  <c:v>11701.54291696385</c:v>
                </c:pt>
                <c:pt idx="318">
                  <c:v>11765.573413012744</c:v>
                </c:pt>
                <c:pt idx="319">
                  <c:v>11822.62967561285</c:v>
                </c:pt>
                <c:pt idx="320">
                  <c:v>11872.634353471127</c:v>
                </c:pt>
                <c:pt idx="321">
                  <c:v>11915.524455183036</c:v>
                </c:pt>
                <c:pt idx="322">
                  <c:v>11951.251470519734</c:v>
                </c:pt>
                <c:pt idx="323">
                  <c:v>11979.781435803454</c:v>
                </c:pt>
                <c:pt idx="324">
                  <c:v>12001.094943540003</c:v>
                </c:pt>
                <c:pt idx="325">
                  <c:v>12015.187096818263</c:v>
                </c:pt>
                <c:pt idx="326">
                  <c:v>12022.067409319112</c:v>
                </c:pt>
                <c:pt idx="327">
                  <c:v>12021.759652097277</c:v>
                </c:pt>
                <c:pt idx="328">
                  <c:v>12014.301648606523</c:v>
                </c:pt>
                <c:pt idx="329">
                  <c:v>11999.745019728796</c:v>
                </c:pt>
                <c:pt idx="330">
                  <c:v>11978.154880839222</c:v>
                </c:pt>
                <c:pt idx="331">
                  <c:v>11949.609493189104</c:v>
                </c:pt>
                <c:pt idx="332">
                  <c:v>11914.199872116622</c:v>
                </c:pt>
                <c:pt idx="333">
                  <c:v>11872.029354798307</c:v>
                </c:pt>
                <c:pt idx="334">
                  <c:v>12030.803966456753</c:v>
                </c:pt>
                <c:pt idx="335">
                  <c:v>12183.926236137204</c:v>
                </c:pt>
                <c:pt idx="336">
                  <c:v>12331.129876459261</c:v>
                </c:pt>
                <c:pt idx="337">
                  <c:v>12472.158520848641</c:v>
                </c:pt>
                <c:pt idx="338">
                  <c:v>12606.766606297757</c:v>
                </c:pt>
                <c:pt idx="339">
                  <c:v>12734.720219885327</c:v>
                </c:pt>
                <c:pt idx="340">
                  <c:v>12855.797904139295</c:v>
                </c:pt>
                <c:pt idx="341">
                  <c:v>12969.791416561897</c:v>
                </c:pt>
                <c:pt idx="342">
                  <c:v>13076.506438912249</c:v>
                </c:pt>
                <c:pt idx="343">
                  <c:v>13175.763232158108</c:v>
                </c:pt>
                <c:pt idx="344">
                  <c:v>13267.397233361127</c:v>
                </c:pt>
                <c:pt idx="345">
                  <c:v>13351.259591145899</c:v>
                </c:pt>
                <c:pt idx="346">
                  <c:v>13427.217636818068</c:v>
                </c:pt>
                <c:pt idx="347">
                  <c:v>13495.155288636874</c:v>
                </c:pt>
                <c:pt idx="348">
                  <c:v>13554.973387207765</c:v>
                </c:pt>
                <c:pt idx="349">
                  <c:v>13606.589960436617</c:v>
                </c:pt>
                <c:pt idx="350">
                  <c:v>13649.940416973466</c:v>
                </c:pt>
                <c:pt idx="351">
                  <c:v>13684.977667565532</c:v>
                </c:pt>
                <c:pt idx="352">
                  <c:v>13711.672174231453</c:v>
                </c:pt>
                <c:pt idx="353">
                  <c:v>13730.011927656251</c:v>
                </c:pt>
                <c:pt idx="354">
                  <c:v>13740.002353684371</c:v>
                </c:pt>
                <c:pt idx="355">
                  <c:v>13741.666150251827</c:v>
                </c:pt>
                <c:pt idx="356">
                  <c:v>13735.043056543282</c:v>
                </c:pt>
                <c:pt idx="357">
                  <c:v>13720.189556581881</c:v>
                </c:pt>
                <c:pt idx="358">
                  <c:v>13697.178519855046</c:v>
                </c:pt>
                <c:pt idx="359">
                  <c:v>13666.098781944655</c:v>
                </c:pt>
                <c:pt idx="360">
                  <c:v>13627.054668462682</c:v>
                </c:pt>
                <c:pt idx="361">
                  <c:v>13580.165465890483</c:v>
                </c:pt>
                <c:pt idx="362">
                  <c:v>13525.564843179951</c:v>
                </c:pt>
                <c:pt idx="363">
                  <c:v>13463.400228196249</c:v>
                </c:pt>
                <c:pt idx="364">
                  <c:v>13393.832143263695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2F-47B4-8E68-F86B160AA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442960"/>
        <c:axId val="37443920"/>
      </c:lineChart>
      <c:catAx>
        <c:axId val="37442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43920"/>
        <c:crosses val="autoZero"/>
        <c:auto val="1"/>
        <c:lblAlgn val="ctr"/>
        <c:lblOffset val="100"/>
        <c:noMultiLvlLbl val="0"/>
      </c:catAx>
      <c:valAx>
        <c:axId val="3744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4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133350</xdr:colOff>
      <xdr:row>3</xdr:row>
      <xdr:rowOff>166687</xdr:rowOff>
    </xdr:from>
    <xdr:to>
      <xdr:col>27</xdr:col>
      <xdr:colOff>438150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0A8262-A960-10B7-2CF5-AF3D507E0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361950</xdr:colOff>
      <xdr:row>17</xdr:row>
      <xdr:rowOff>166687</xdr:rowOff>
    </xdr:from>
    <xdr:to>
      <xdr:col>28</xdr:col>
      <xdr:colOff>57150</xdr:colOff>
      <xdr:row>32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1131B5-1289-EEAD-9147-CE1689EB8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8"/>
  <sheetViews>
    <sheetView tabSelected="1" workbookViewId="0">
      <selection activeCell="T8" sqref="T8"/>
    </sheetView>
  </sheetViews>
  <sheetFormatPr defaultRowHeight="15" x14ac:dyDescent="0.25"/>
  <cols>
    <col min="1" max="1" width="10.7109375" style="1" customWidth="1"/>
  </cols>
  <sheetData>
    <row r="1" spans="1:19" x14ac:dyDescent="0.25">
      <c r="A1" s="1" t="s">
        <v>9</v>
      </c>
      <c r="B1">
        <v>3199037</v>
      </c>
    </row>
    <row r="3" spans="1:19" x14ac:dyDescent="0.25">
      <c r="A3" s="1" t="s">
        <v>0</v>
      </c>
      <c r="B3" t="s">
        <v>3</v>
      </c>
      <c r="C3" t="s">
        <v>1</v>
      </c>
      <c r="D3" t="s">
        <v>2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Q3" t="s">
        <v>15</v>
      </c>
      <c r="R3" t="s">
        <v>16</v>
      </c>
      <c r="S3" t="s">
        <v>29</v>
      </c>
    </row>
    <row r="4" spans="1:19" x14ac:dyDescent="0.25">
      <c r="A4" s="1">
        <v>44197</v>
      </c>
      <c r="B4">
        <v>282980</v>
      </c>
      <c r="C4">
        <v>1268</v>
      </c>
      <c r="D4">
        <v>12686</v>
      </c>
      <c r="E4">
        <v>0</v>
      </c>
      <c r="F4">
        <f>$B$1-(B4+E4)</f>
        <v>2916057</v>
      </c>
      <c r="G4">
        <f>AVERAGE(C4:C10)</f>
        <v>1639.5714285714287</v>
      </c>
      <c r="H4">
        <f>(G4*$B$1)/(F4*D4)</f>
        <v>0.14178454337336902</v>
      </c>
      <c r="I4">
        <f>(E5-E4)/F4</f>
        <v>0</v>
      </c>
      <c r="K4">
        <v>2916057</v>
      </c>
      <c r="L4">
        <v>12686</v>
      </c>
      <c r="M4">
        <f>B1-(F4+D4+E4)</f>
        <v>270294</v>
      </c>
      <c r="N4">
        <v>0</v>
      </c>
      <c r="O4">
        <f>SUM(K4:N4)</f>
        <v>3199037</v>
      </c>
      <c r="Q4" t="s">
        <v>17</v>
      </c>
      <c r="R4">
        <f>AVERAGE(H4:H34)</f>
        <v>0.10543140947913487</v>
      </c>
      <c r="S4">
        <f>AVERAGE(I14:I34)</f>
        <v>3.2775753765565455E-3</v>
      </c>
    </row>
    <row r="5" spans="1:19" x14ac:dyDescent="0.25">
      <c r="A5" s="1">
        <v>44198</v>
      </c>
      <c r="B5">
        <v>283895</v>
      </c>
      <c r="C5">
        <f>B5-B4</f>
        <v>915</v>
      </c>
      <c r="D5">
        <v>11783</v>
      </c>
      <c r="E5">
        <v>0</v>
      </c>
      <c r="F5">
        <f t="shared" ref="F5:F68" si="0">$B$1-(B5+E5)</f>
        <v>2915142</v>
      </c>
      <c r="G5">
        <f t="shared" ref="G5:G68" si="1">AVERAGE(C5:C11)</f>
        <v>1683.1428571428571</v>
      </c>
      <c r="H5">
        <f>(G5*$B$1)/(F5*D5)</f>
        <v>0.15675617193807032</v>
      </c>
      <c r="I5">
        <f>(E6-E5)/F5</f>
        <v>0</v>
      </c>
      <c r="K5">
        <f>K4-($R$4*K4*L4/$B$1)-($S$4*K4)</f>
        <v>2905280.213174073</v>
      </c>
      <c r="L5">
        <f>L4+($R$4*K4*L4/$B$1)-(L4/10)</f>
        <v>12636.590206091763</v>
      </c>
      <c r="M5">
        <f>M4+(L4/10)</f>
        <v>271562.59999999998</v>
      </c>
      <c r="N5">
        <v>0</v>
      </c>
      <c r="Q5" t="s">
        <v>18</v>
      </c>
      <c r="R5">
        <f>AVERAGE(H35:H62)</f>
        <v>0.11123038489365278</v>
      </c>
      <c r="S5">
        <f>AVERAGE(I35:I62)</f>
        <v>5.0359995798464532E-3</v>
      </c>
    </row>
    <row r="6" spans="1:19" x14ac:dyDescent="0.25">
      <c r="A6" s="1">
        <v>44199</v>
      </c>
      <c r="B6">
        <v>284715</v>
      </c>
      <c r="C6">
        <f t="shared" ref="C6:C69" si="2">B6-B5</f>
        <v>820</v>
      </c>
      <c r="D6">
        <v>11054</v>
      </c>
      <c r="E6">
        <v>0</v>
      </c>
      <c r="F6">
        <f t="shared" si="0"/>
        <v>2914322</v>
      </c>
      <c r="G6">
        <f t="shared" si="1"/>
        <v>1753.7142857142858</v>
      </c>
      <c r="H6">
        <f t="shared" ref="H6:H68" si="3">(G6*$B$1)/(F6*D6)</f>
        <v>0.17414904927915348</v>
      </c>
      <c r="I6">
        <f t="shared" ref="I6:I68" si="4">(E7-E6)/F6</f>
        <v>0</v>
      </c>
      <c r="K6">
        <f t="shared" ref="K6:K11" si="5">K5-($R$4*K5*L5/$B$1)-($S$4*K5)</f>
        <v>2894547.9847926698</v>
      </c>
      <c r="L6">
        <f t="shared" ref="L6:L13" si="6">L5+($R$4*K5*L5/$B$1)-(L5/10)</f>
        <v>12582.884678189561</v>
      </c>
      <c r="M6">
        <f t="shared" ref="M6:M13" si="7">M5+(L5/10)</f>
        <v>272826.25902060914</v>
      </c>
      <c r="N6">
        <v>0</v>
      </c>
      <c r="Q6" t="s">
        <v>19</v>
      </c>
      <c r="R6">
        <f>AVERAGE(H63:H93)</f>
        <v>0.15763548422113557</v>
      </c>
      <c r="S6">
        <f>AVERAGE(I63:I93)</f>
        <v>6.806858053540101E-3</v>
      </c>
    </row>
    <row r="7" spans="1:19" x14ac:dyDescent="0.25">
      <c r="A7" s="1">
        <v>44200</v>
      </c>
      <c r="B7">
        <v>286356</v>
      </c>
      <c r="C7">
        <f t="shared" si="2"/>
        <v>1641</v>
      </c>
      <c r="D7">
        <v>12090</v>
      </c>
      <c r="E7">
        <v>0</v>
      </c>
      <c r="F7">
        <f t="shared" si="0"/>
        <v>2912681</v>
      </c>
      <c r="G7">
        <f t="shared" si="1"/>
        <v>1709.5714285714287</v>
      </c>
      <c r="H7">
        <f t="shared" si="3"/>
        <v>0.15530566247605671</v>
      </c>
      <c r="I7">
        <f t="shared" si="4"/>
        <v>0</v>
      </c>
      <c r="K7">
        <f t="shared" si="5"/>
        <v>2883860.5250266101</v>
      </c>
      <c r="L7">
        <f t="shared" si="6"/>
        <v>12524.956775212295</v>
      </c>
      <c r="M7">
        <f t="shared" si="7"/>
        <v>274084.54748842807</v>
      </c>
      <c r="N7">
        <v>0</v>
      </c>
      <c r="Q7" t="s">
        <v>20</v>
      </c>
      <c r="R7">
        <f>AVERAGE(H94:H123)</f>
        <v>0.18095702728012542</v>
      </c>
      <c r="S7">
        <f>AVERAGE(I94:I123)</f>
        <v>8.2926282337108543E-3</v>
      </c>
    </row>
    <row r="8" spans="1:19" x14ac:dyDescent="0.25">
      <c r="A8" s="1">
        <v>44201</v>
      </c>
      <c r="B8">
        <v>288298</v>
      </c>
      <c r="C8">
        <f t="shared" si="2"/>
        <v>1942</v>
      </c>
      <c r="D8">
        <v>13505</v>
      </c>
      <c r="E8">
        <v>0</v>
      </c>
      <c r="F8">
        <f t="shared" si="0"/>
        <v>2910739</v>
      </c>
      <c r="G8">
        <f t="shared" si="1"/>
        <v>1631.1428571428571</v>
      </c>
      <c r="H8">
        <f t="shared" si="3"/>
        <v>0.13274354403119862</v>
      </c>
      <c r="I8">
        <f t="shared" si="4"/>
        <v>0</v>
      </c>
      <c r="K8">
        <f>K7-($R$4*K7*L7/$B$1)-($S$4*K7)</f>
        <v>2873218.0319771194</v>
      </c>
      <c r="L8">
        <f>L7+($R$4*K7*L7/$B$1)-(L7/10)</f>
        <v>12462.883900930938</v>
      </c>
      <c r="M8">
        <f>M7+(L7/10)</f>
        <v>275337.04316594929</v>
      </c>
      <c r="N8">
        <v>0</v>
      </c>
      <c r="Q8" t="s">
        <v>21</v>
      </c>
      <c r="R8">
        <f>AVERAGE(H124:H154)</f>
        <v>0.17103158692899753</v>
      </c>
      <c r="S8">
        <f>AVERAGE(I124:I154)</f>
        <v>3.776545946747826E-3</v>
      </c>
    </row>
    <row r="9" spans="1:19" x14ac:dyDescent="0.25">
      <c r="A9" s="1">
        <v>44202</v>
      </c>
      <c r="B9">
        <v>290776</v>
      </c>
      <c r="C9">
        <f t="shared" si="2"/>
        <v>2478</v>
      </c>
      <c r="D9">
        <v>15477</v>
      </c>
      <c r="E9">
        <v>0</v>
      </c>
      <c r="F9">
        <f t="shared" si="0"/>
        <v>2908261</v>
      </c>
      <c r="G9">
        <f t="shared" si="1"/>
        <v>1565.1428571428571</v>
      </c>
      <c r="H9">
        <f t="shared" si="3"/>
        <v>0.11123797767465508</v>
      </c>
      <c r="I9">
        <f t="shared" si="4"/>
        <v>0</v>
      </c>
      <c r="K9">
        <f t="shared" si="5"/>
        <v>2862620.6914798226</v>
      </c>
      <c r="L9">
        <f t="shared" si="6"/>
        <v>12396.747335048345</v>
      </c>
      <c r="M9">
        <f t="shared" si="7"/>
        <v>276583.33155604237</v>
      </c>
      <c r="N9">
        <v>0</v>
      </c>
      <c r="Q9" t="s">
        <v>22</v>
      </c>
      <c r="R9">
        <f>AVERAGE(H155:H184)</f>
        <v>0.25275244435209943</v>
      </c>
      <c r="S9">
        <f>AVERAGE(I155:I184)</f>
        <v>1.7978305685884672E-3</v>
      </c>
    </row>
    <row r="10" spans="1:19" x14ac:dyDescent="0.25">
      <c r="A10" s="1">
        <v>44203</v>
      </c>
      <c r="B10">
        <v>293189</v>
      </c>
      <c r="C10">
        <f t="shared" si="2"/>
        <v>2413</v>
      </c>
      <c r="D10">
        <v>16540</v>
      </c>
      <c r="E10">
        <v>0</v>
      </c>
      <c r="F10">
        <f t="shared" si="0"/>
        <v>2905848</v>
      </c>
      <c r="G10">
        <f t="shared" si="1"/>
        <v>1483.5714285714287</v>
      </c>
      <c r="H10">
        <f t="shared" si="3"/>
        <v>9.8745957523144523E-2</v>
      </c>
      <c r="I10">
        <f t="shared" si="4"/>
        <v>0</v>
      </c>
      <c r="K10">
        <f t="shared" si="5"/>
        <v>2852068.676931533</v>
      </c>
      <c r="L10">
        <f t="shared" si="6"/>
        <v>12326.632059017453</v>
      </c>
      <c r="M10">
        <f t="shared" si="7"/>
        <v>277823.00628954719</v>
      </c>
      <c r="N10">
        <v>0</v>
      </c>
      <c r="Q10" t="s">
        <v>23</v>
      </c>
      <c r="R10">
        <f>AVERAGE(H185:H215)</f>
        <v>0.41761855526358127</v>
      </c>
      <c r="S10">
        <f>AVERAGE(I185:I215)</f>
        <v>1.5967630655568364E-3</v>
      </c>
    </row>
    <row r="11" spans="1:19" x14ac:dyDescent="0.25">
      <c r="A11" s="1">
        <v>44204</v>
      </c>
      <c r="B11">
        <v>294762</v>
      </c>
      <c r="C11">
        <f t="shared" si="2"/>
        <v>1573</v>
      </c>
      <c r="D11">
        <v>16452</v>
      </c>
      <c r="E11">
        <v>0</v>
      </c>
      <c r="F11">
        <f t="shared" si="0"/>
        <v>2904275</v>
      </c>
      <c r="G11">
        <f t="shared" si="1"/>
        <v>1338.5714285714287</v>
      </c>
      <c r="H11">
        <f t="shared" si="3"/>
        <v>8.9619883854088936E-2</v>
      </c>
      <c r="I11">
        <f t="shared" si="4"/>
        <v>0</v>
      </c>
      <c r="K11">
        <f t="shared" si="5"/>
        <v>2841562.1491397712</v>
      </c>
      <c r="L11">
        <f t="shared" si="6"/>
        <v>12252.626577118552</v>
      </c>
      <c r="M11">
        <f t="shared" si="7"/>
        <v>279055.66949544894</v>
      </c>
      <c r="N11">
        <v>0</v>
      </c>
      <c r="Q11" t="s">
        <v>24</v>
      </c>
      <c r="R11">
        <f>AVERAGE(H216:H246)</f>
        <v>0.39117335611150167</v>
      </c>
      <c r="S11">
        <f>AVERAGE(I216:I246)</f>
        <v>2.9008918720886223E-3</v>
      </c>
    </row>
    <row r="12" spans="1:19" x14ac:dyDescent="0.25">
      <c r="A12" s="1">
        <v>44205</v>
      </c>
      <c r="B12">
        <v>296171</v>
      </c>
      <c r="C12">
        <f t="shared" si="2"/>
        <v>1409</v>
      </c>
      <c r="D12">
        <v>16104</v>
      </c>
      <c r="E12">
        <v>0</v>
      </c>
      <c r="F12">
        <f t="shared" si="0"/>
        <v>2902866</v>
      </c>
      <c r="G12">
        <f t="shared" si="1"/>
        <v>1309.2857142857142</v>
      </c>
      <c r="H12">
        <f t="shared" si="3"/>
        <v>8.9596891389417926E-2</v>
      </c>
      <c r="I12">
        <f t="shared" si="4"/>
        <v>0</v>
      </c>
      <c r="K12">
        <f>K11-($R$4*K11*L11/$B$1)-($S$4*K11)</f>
        <v>2831101.2561948821</v>
      </c>
      <c r="L12">
        <f t="shared" si="6"/>
        <v>12174.822733320338</v>
      </c>
      <c r="M12">
        <f t="shared" si="7"/>
        <v>280280.9321531608</v>
      </c>
      <c r="N12">
        <v>0</v>
      </c>
      <c r="Q12" t="s">
        <v>25</v>
      </c>
      <c r="R12">
        <f>AVERAGE(H247:H276)</f>
        <v>0.35134541504929201</v>
      </c>
      <c r="S12">
        <f>AVERAGE(I247:I276)</f>
        <v>1.9731025668477046E-3</v>
      </c>
    </row>
    <row r="13" spans="1:19" x14ac:dyDescent="0.25">
      <c r="A13" s="1">
        <v>44206</v>
      </c>
      <c r="B13">
        <v>296682</v>
      </c>
      <c r="C13">
        <f t="shared" si="2"/>
        <v>511</v>
      </c>
      <c r="D13">
        <f>SUM(C4:C13)</f>
        <v>14970</v>
      </c>
      <c r="E13">
        <v>0</v>
      </c>
      <c r="F13">
        <f t="shared" si="0"/>
        <v>2902355</v>
      </c>
      <c r="G13">
        <f t="shared" si="1"/>
        <v>1225.2857142857142</v>
      </c>
      <c r="H13">
        <f t="shared" si="3"/>
        <v>9.021615239120484E-2</v>
      </c>
      <c r="I13">
        <f t="shared" si="4"/>
        <v>0</v>
      </c>
      <c r="K13">
        <f t="shared" ref="K13" si="8">K12-($R$4*K12*L12/$B$1)-($S$4*K12)</f>
        <v>2820686.1333645764</v>
      </c>
      <c r="L13">
        <f t="shared" si="6"/>
        <v>12093.315524451429</v>
      </c>
      <c r="M13">
        <f t="shared" si="7"/>
        <v>281498.41442649282</v>
      </c>
      <c r="N13">
        <v>0</v>
      </c>
      <c r="Q13" t="s">
        <v>26</v>
      </c>
      <c r="R13">
        <f>AVERAGE(H277:H307)</f>
        <v>0.34895361524260615</v>
      </c>
      <c r="S13">
        <f>AVERAGE(I277:I307)</f>
        <v>1.7139193773312536E-3</v>
      </c>
    </row>
    <row r="14" spans="1:19" x14ac:dyDescent="0.25">
      <c r="A14" s="1">
        <v>44207</v>
      </c>
      <c r="B14">
        <v>297774</v>
      </c>
      <c r="C14">
        <f t="shared" si="2"/>
        <v>1092</v>
      </c>
      <c r="D14">
        <f t="shared" ref="D14:D77" si="9">SUM(C5:C14)</f>
        <v>14794</v>
      </c>
      <c r="E14">
        <v>0</v>
      </c>
      <c r="F14">
        <f t="shared" si="0"/>
        <v>2901263</v>
      </c>
      <c r="G14">
        <f t="shared" si="1"/>
        <v>1209.8571428571429</v>
      </c>
      <c r="H14">
        <f t="shared" si="3"/>
        <v>9.0173856182666295E-2</v>
      </c>
      <c r="I14">
        <f t="shared" si="4"/>
        <v>3.1699642534992516E-2</v>
      </c>
      <c r="K14">
        <f>K13-($R$4*K13*L13/$B$1)-($S$4*K13)</f>
        <v>2810316.9030106636</v>
      </c>
      <c r="L14">
        <f>L13+($R$4*K13*L13/$B$1)-(L13/10)</f>
        <v>12008.202910209076</v>
      </c>
      <c r="M14">
        <f>M13+(L13/10)</f>
        <v>282707.74597893795</v>
      </c>
      <c r="N14">
        <v>0</v>
      </c>
      <c r="Q14" t="s">
        <v>27</v>
      </c>
      <c r="R14">
        <f>AVERAGE(H308:H337)</f>
        <v>0.46717615617186981</v>
      </c>
      <c r="S14">
        <f>AVERAGE(I308:I337)</f>
        <v>4.1936223949172223E-3</v>
      </c>
    </row>
    <row r="15" spans="1:19" x14ac:dyDescent="0.25">
      <c r="A15" s="1">
        <v>44208</v>
      </c>
      <c r="B15">
        <v>299254</v>
      </c>
      <c r="C15">
        <f t="shared" si="2"/>
        <v>1480</v>
      </c>
      <c r="D15">
        <f t="shared" si="9"/>
        <v>15359</v>
      </c>
      <c r="E15">
        <v>91969</v>
      </c>
      <c r="F15">
        <f t="shared" si="0"/>
        <v>2807814</v>
      </c>
      <c r="G15">
        <f t="shared" si="1"/>
        <v>1186.8571428571429</v>
      </c>
      <c r="H15">
        <f t="shared" si="3"/>
        <v>8.8041297737691343E-2</v>
      </c>
      <c r="I15">
        <f t="shared" si="4"/>
        <v>1.5734660486770135E-3</v>
      </c>
      <c r="K15">
        <f t="shared" ref="K15:K33" si="10">K14-($R$4*K14*L14/$B$1)-($S$4*K14)</f>
        <v>2799993.6745276935</v>
      </c>
      <c r="L15">
        <f t="shared" ref="L15:L33" si="11">L14+($R$4*K14*L14/$B$1)-(L14/10)</f>
        <v>11919.585620529993</v>
      </c>
      <c r="M15">
        <f t="shared" ref="M15:M33" si="12">M14+(L14/10)</f>
        <v>283908.56626995886</v>
      </c>
      <c r="N15">
        <f>N14+($S$4*K14)</f>
        <v>9211.0254816283996</v>
      </c>
      <c r="Q15" t="s">
        <v>28</v>
      </c>
      <c r="R15">
        <f>AVERAGE(H338:H368)</f>
        <v>0.55236819845724949</v>
      </c>
      <c r="S15">
        <f>AVERAGE(I338:I368)</f>
        <v>3.6508919092305002E-3</v>
      </c>
    </row>
    <row r="16" spans="1:19" x14ac:dyDescent="0.25">
      <c r="A16" s="1">
        <v>44209</v>
      </c>
      <c r="B16">
        <v>301161</v>
      </c>
      <c r="C16">
        <f t="shared" si="2"/>
        <v>1907</v>
      </c>
      <c r="D16">
        <f t="shared" si="9"/>
        <v>16446</v>
      </c>
      <c r="E16">
        <f>(E15+E17)/2</f>
        <v>96387</v>
      </c>
      <c r="F16">
        <f t="shared" si="0"/>
        <v>2801489</v>
      </c>
      <c r="G16">
        <f t="shared" si="1"/>
        <v>1149.7142857142858</v>
      </c>
      <c r="H16">
        <f t="shared" si="3"/>
        <v>7.9828870297354471E-2</v>
      </c>
      <c r="I16">
        <f t="shared" si="4"/>
        <v>1.5770185069439858E-3</v>
      </c>
      <c r="K16">
        <f t="shared" si="10"/>
        <v>2789716.5443031802</v>
      </c>
      <c r="L16">
        <f t="shared" si="11"/>
        <v>11827.566960844573</v>
      </c>
      <c r="M16">
        <f t="shared" si="12"/>
        <v>285100.52483201184</v>
      </c>
      <c r="N16">
        <f t="shared" ref="N16:N33" si="13">N15+($S$4*K15)</f>
        <v>18388.215803774452</v>
      </c>
    </row>
    <row r="17" spans="1:14" x14ac:dyDescent="0.25">
      <c r="A17" s="1">
        <v>44210</v>
      </c>
      <c r="B17">
        <v>302559</v>
      </c>
      <c r="C17">
        <f t="shared" si="2"/>
        <v>1398</v>
      </c>
      <c r="D17">
        <f t="shared" si="9"/>
        <v>16203</v>
      </c>
      <c r="E17">
        <v>100805</v>
      </c>
      <c r="F17">
        <f t="shared" si="0"/>
        <v>2795673</v>
      </c>
      <c r="G17">
        <f t="shared" si="1"/>
        <v>1089.4285714285713</v>
      </c>
      <c r="H17">
        <f t="shared" si="3"/>
        <v>7.6937172201648335E-2</v>
      </c>
      <c r="I17">
        <f t="shared" si="4"/>
        <v>2.5936509742019186E-3</v>
      </c>
      <c r="K17">
        <f t="shared" si="10"/>
        <v>2779485.5956990295</v>
      </c>
      <c r="L17">
        <f t="shared" si="11"/>
        <v>11732.252615730347</v>
      </c>
      <c r="M17">
        <f t="shared" si="12"/>
        <v>286283.2815280963</v>
      </c>
      <c r="N17">
        <f t="shared" si="13"/>
        <v>27531.722056954975</v>
      </c>
    </row>
    <row r="18" spans="1:14" x14ac:dyDescent="0.25">
      <c r="A18" s="1">
        <v>44211</v>
      </c>
      <c r="B18">
        <v>303927</v>
      </c>
      <c r="C18">
        <f t="shared" si="2"/>
        <v>1368</v>
      </c>
      <c r="D18">
        <f t="shared" si="9"/>
        <v>15629</v>
      </c>
      <c r="E18">
        <v>108056</v>
      </c>
      <c r="F18">
        <f t="shared" si="0"/>
        <v>2787054</v>
      </c>
      <c r="G18">
        <f t="shared" si="1"/>
        <v>1125.8571428571429</v>
      </c>
      <c r="H18">
        <f t="shared" si="3"/>
        <v>8.2684856323870196E-2</v>
      </c>
      <c r="I18">
        <f t="shared" si="4"/>
        <v>1.9719747087785168E-3</v>
      </c>
      <c r="K18">
        <f t="shared" si="10"/>
        <v>2769300.8990537566</v>
      </c>
      <c r="L18">
        <f t="shared" si="11"/>
        <v>11633.750451473441</v>
      </c>
      <c r="M18">
        <f t="shared" si="12"/>
        <v>287456.50678966934</v>
      </c>
      <c r="N18">
        <f t="shared" si="13"/>
        <v>36641.695604911714</v>
      </c>
    </row>
    <row r="19" spans="1:14" x14ac:dyDescent="0.25">
      <c r="A19" s="1">
        <v>44212</v>
      </c>
      <c r="B19">
        <v>304748</v>
      </c>
      <c r="C19">
        <f t="shared" si="2"/>
        <v>821</v>
      </c>
      <c r="D19">
        <f t="shared" si="9"/>
        <v>13972</v>
      </c>
      <c r="E19">
        <f>E18+5496</f>
        <v>113552</v>
      </c>
      <c r="F19">
        <f t="shared" si="0"/>
        <v>2780737</v>
      </c>
      <c r="G19">
        <f t="shared" si="1"/>
        <v>1109.7142857142858</v>
      </c>
      <c r="H19">
        <f t="shared" si="3"/>
        <v>9.1371750985253117E-2</v>
      </c>
      <c r="I19">
        <f t="shared" si="4"/>
        <v>1.9764544435521949E-3</v>
      </c>
      <c r="K19">
        <f t="shared" si="10"/>
        <v>2759162.5117050302</v>
      </c>
      <c r="L19">
        <f t="shared" si="11"/>
        <v>11532.170318038052</v>
      </c>
      <c r="M19">
        <f t="shared" si="12"/>
        <v>288619.88183481665</v>
      </c>
      <c r="N19">
        <f t="shared" si="13"/>
        <v>45718.288041926207</v>
      </c>
    </row>
    <row r="20" spans="1:14" x14ac:dyDescent="0.25">
      <c r="A20" s="1">
        <v>44213</v>
      </c>
      <c r="B20">
        <v>305151</v>
      </c>
      <c r="C20">
        <f t="shared" si="2"/>
        <v>403</v>
      </c>
      <c r="D20">
        <f t="shared" si="9"/>
        <v>11962</v>
      </c>
      <c r="E20">
        <f>E19+5496</f>
        <v>119048</v>
      </c>
      <c r="F20">
        <f t="shared" si="0"/>
        <v>2774838</v>
      </c>
      <c r="G20">
        <f t="shared" si="1"/>
        <v>1125.2857142857142</v>
      </c>
      <c r="H20">
        <f t="shared" si="3"/>
        <v>0.10845276709928091</v>
      </c>
      <c r="I20">
        <f t="shared" si="4"/>
        <v>1.9806561680357558E-3</v>
      </c>
      <c r="K20">
        <f t="shared" si="10"/>
        <v>2749070.4780320483</v>
      </c>
      <c r="L20">
        <f t="shared" si="11"/>
        <v>11427.623850933804</v>
      </c>
      <c r="M20">
        <f t="shared" si="12"/>
        <v>289773.09886662045</v>
      </c>
      <c r="N20">
        <f t="shared" si="13"/>
        <v>54761.651150208527</v>
      </c>
    </row>
    <row r="21" spans="1:14" x14ac:dyDescent="0.25">
      <c r="A21" s="1">
        <v>44214</v>
      </c>
      <c r="B21">
        <v>306082</v>
      </c>
      <c r="C21">
        <f t="shared" si="2"/>
        <v>931</v>
      </c>
      <c r="D21">
        <f t="shared" si="9"/>
        <v>11320</v>
      </c>
      <c r="E21">
        <f>E20+5496</f>
        <v>124544</v>
      </c>
      <c r="F21">
        <f t="shared" si="0"/>
        <v>2768411</v>
      </c>
      <c r="G21">
        <f t="shared" si="1"/>
        <v>1141.2857142857142</v>
      </c>
      <c r="H21">
        <f t="shared" si="3"/>
        <v>0.11650287726735906</v>
      </c>
      <c r="I21">
        <f t="shared" si="4"/>
        <v>1.9859767931856937E-3</v>
      </c>
      <c r="K21">
        <f t="shared" si="10"/>
        <v>2739024.8295172136</v>
      </c>
      <c r="L21">
        <f t="shared" si="11"/>
        <v>11320.224273459065</v>
      </c>
      <c r="M21">
        <f t="shared" si="12"/>
        <v>290915.86125171382</v>
      </c>
      <c r="N21">
        <f t="shared" si="13"/>
        <v>63771.936857424902</v>
      </c>
    </row>
    <row r="22" spans="1:14" x14ac:dyDescent="0.25">
      <c r="A22" s="1">
        <v>44215</v>
      </c>
      <c r="B22">
        <v>307302</v>
      </c>
      <c r="C22">
        <f t="shared" si="2"/>
        <v>1220</v>
      </c>
      <c r="D22">
        <f t="shared" si="9"/>
        <v>11131</v>
      </c>
      <c r="E22">
        <v>130042</v>
      </c>
      <c r="F22">
        <f t="shared" si="0"/>
        <v>2761693</v>
      </c>
      <c r="G22">
        <f t="shared" si="1"/>
        <v>1117.8571428571429</v>
      </c>
      <c r="H22">
        <f t="shared" si="3"/>
        <v>0.11633114091887024</v>
      </c>
      <c r="I22">
        <f t="shared" si="4"/>
        <v>1.2622691950191422E-3</v>
      </c>
      <c r="K22">
        <f t="shared" si="10"/>
        <v>2729025.5848265388</v>
      </c>
      <c r="L22">
        <f t="shared" si="11"/>
        <v>11210.086199785388</v>
      </c>
      <c r="M22">
        <f t="shared" si="12"/>
        <v>292047.88367905974</v>
      </c>
      <c r="N22">
        <f t="shared" si="13"/>
        <v>72749.297194427505</v>
      </c>
    </row>
    <row r="23" spans="1:14" x14ac:dyDescent="0.25">
      <c r="A23" s="1">
        <v>44216</v>
      </c>
      <c r="B23">
        <v>308787</v>
      </c>
      <c r="C23">
        <f t="shared" si="2"/>
        <v>1485</v>
      </c>
      <c r="D23">
        <f t="shared" si="9"/>
        <v>12105</v>
      </c>
      <c r="E23">
        <v>133528</v>
      </c>
      <c r="F23">
        <f t="shared" si="0"/>
        <v>2756722</v>
      </c>
      <c r="G23">
        <f t="shared" si="1"/>
        <v>1100</v>
      </c>
      <c r="H23">
        <f t="shared" si="3"/>
        <v>0.10545184494499422</v>
      </c>
      <c r="I23">
        <f t="shared" si="4"/>
        <v>2.16634103837819E-3</v>
      </c>
      <c r="K23">
        <f t="shared" si="10"/>
        <v>2719072.7499081916</v>
      </c>
      <c r="L23">
        <f t="shared" si="11"/>
        <v>11097.325439333908</v>
      </c>
      <c r="M23">
        <f t="shared" si="12"/>
        <v>293168.8922990383</v>
      </c>
      <c r="N23">
        <f t="shared" si="13"/>
        <v>81693.884253247801</v>
      </c>
    </row>
    <row r="24" spans="1:14" x14ac:dyDescent="0.25">
      <c r="A24" s="1">
        <v>44217</v>
      </c>
      <c r="B24">
        <v>310440</v>
      </c>
      <c r="C24">
        <f t="shared" si="2"/>
        <v>1653</v>
      </c>
      <c r="D24">
        <f t="shared" si="9"/>
        <v>12666</v>
      </c>
      <c r="E24">
        <v>139500</v>
      </c>
      <c r="F24">
        <f t="shared" si="0"/>
        <v>2749097</v>
      </c>
      <c r="G24">
        <f t="shared" si="1"/>
        <v>1046.7142857142858</v>
      </c>
      <c r="H24">
        <f t="shared" si="3"/>
        <v>9.6165184040658255E-2</v>
      </c>
      <c r="I24">
        <f t="shared" si="4"/>
        <v>2.2341881716068947E-3</v>
      </c>
      <c r="K24">
        <f t="shared" si="10"/>
        <v>2709166.3181085479</v>
      </c>
      <c r="L24">
        <f t="shared" si="11"/>
        <v>10982.058802879152</v>
      </c>
      <c r="M24">
        <f t="shared" si="12"/>
        <v>294278.62484297168</v>
      </c>
      <c r="N24">
        <f t="shared" si="13"/>
        <v>90605.850145412784</v>
      </c>
    </row>
    <row r="25" spans="1:14" x14ac:dyDescent="0.25">
      <c r="A25" s="1">
        <v>44218</v>
      </c>
      <c r="B25">
        <v>311695</v>
      </c>
      <c r="C25">
        <f t="shared" si="2"/>
        <v>1255</v>
      </c>
      <c r="D25">
        <f t="shared" si="9"/>
        <v>12441</v>
      </c>
      <c r="E25">
        <v>145642</v>
      </c>
      <c r="F25">
        <f t="shared" si="0"/>
        <v>2741700</v>
      </c>
      <c r="G25">
        <f t="shared" si="1"/>
        <v>954.85714285714289</v>
      </c>
      <c r="H25">
        <f t="shared" si="3"/>
        <v>8.9553474900396585E-2</v>
      </c>
      <c r="I25">
        <f t="shared" si="4"/>
        <v>2.0071488492541126E-3</v>
      </c>
      <c r="K25">
        <f t="shared" si="10"/>
        <v>2699306.2703051111</v>
      </c>
      <c r="L25">
        <f t="shared" si="11"/>
        <v>10864.403910799236</v>
      </c>
      <c r="M25">
        <f t="shared" si="12"/>
        <v>295376.8307232596</v>
      </c>
      <c r="N25">
        <f t="shared" si="13"/>
        <v>99485.34696064172</v>
      </c>
    </row>
    <row r="26" spans="1:14" x14ac:dyDescent="0.25">
      <c r="A26" s="1">
        <v>44219</v>
      </c>
      <c r="B26">
        <v>312625</v>
      </c>
      <c r="C26">
        <f t="shared" si="2"/>
        <v>930</v>
      </c>
      <c r="D26">
        <f t="shared" si="9"/>
        <v>11464</v>
      </c>
      <c r="E26">
        <v>151145</v>
      </c>
      <c r="F26">
        <f t="shared" si="0"/>
        <v>2735267</v>
      </c>
      <c r="G26">
        <f t="shared" si="1"/>
        <v>856.28571428571433</v>
      </c>
      <c r="H26">
        <f t="shared" si="3"/>
        <v>8.7357874452600404E-2</v>
      </c>
      <c r="I26">
        <f t="shared" si="4"/>
        <v>2.3727116950557296E-3</v>
      </c>
      <c r="K26">
        <f t="shared" si="10"/>
        <v>2689492.5750556197</v>
      </c>
      <c r="L26">
        <f t="shared" si="11"/>
        <v>10744.479003874019</v>
      </c>
      <c r="M26">
        <f t="shared" si="12"/>
        <v>296463.27111433953</v>
      </c>
      <c r="N26">
        <f t="shared" si="13"/>
        <v>108332.52672597845</v>
      </c>
    </row>
    <row r="27" spans="1:14" x14ac:dyDescent="0.25">
      <c r="A27" s="1">
        <v>44220</v>
      </c>
      <c r="B27">
        <v>313140</v>
      </c>
      <c r="C27">
        <f t="shared" si="2"/>
        <v>515</v>
      </c>
      <c r="D27">
        <f t="shared" si="9"/>
        <v>10581</v>
      </c>
      <c r="E27">
        <v>157635</v>
      </c>
      <c r="F27">
        <f t="shared" si="0"/>
        <v>2728262</v>
      </c>
      <c r="G27">
        <f t="shared" si="1"/>
        <v>926.42857142857144</v>
      </c>
      <c r="H27">
        <f t="shared" si="3"/>
        <v>0.10266405527643392</v>
      </c>
      <c r="I27">
        <f t="shared" si="4"/>
        <v>1.3964934452776164E-3</v>
      </c>
      <c r="K27">
        <f t="shared" si="10"/>
        <v>2679725.1887626578</v>
      </c>
      <c r="L27">
        <f t="shared" si="11"/>
        <v>10622.402757014526</v>
      </c>
      <c r="M27">
        <f t="shared" si="12"/>
        <v>297537.71901472693</v>
      </c>
      <c r="N27">
        <f t="shared" si="13"/>
        <v>117147.5413654124</v>
      </c>
    </row>
    <row r="28" spans="1:14" x14ac:dyDescent="0.25">
      <c r="A28" s="1">
        <v>44221</v>
      </c>
      <c r="B28">
        <v>313907</v>
      </c>
      <c r="C28">
        <f t="shared" si="2"/>
        <v>767</v>
      </c>
      <c r="D28">
        <f t="shared" si="9"/>
        <v>9980</v>
      </c>
      <c r="E28">
        <v>161445</v>
      </c>
      <c r="F28">
        <f t="shared" si="0"/>
        <v>2723685</v>
      </c>
      <c r="G28">
        <f t="shared" si="1"/>
        <v>895.42857142857144</v>
      </c>
      <c r="H28">
        <f t="shared" si="3"/>
        <v>0.1053811152948075</v>
      </c>
      <c r="I28">
        <f t="shared" si="4"/>
        <v>4.9565203024578837E-4</v>
      </c>
      <c r="K28">
        <f t="shared" si="10"/>
        <v>2670004.0558530563</v>
      </c>
      <c r="L28">
        <f t="shared" si="11"/>
        <v>10498.294096287966</v>
      </c>
      <c r="M28">
        <f t="shared" si="12"/>
        <v>298599.95929042838</v>
      </c>
      <c r="N28">
        <f t="shared" si="13"/>
        <v>125930.54266003922</v>
      </c>
    </row>
    <row r="29" spans="1:14" x14ac:dyDescent="0.25">
      <c r="A29" s="1">
        <v>44222</v>
      </c>
      <c r="B29">
        <v>315002</v>
      </c>
      <c r="C29">
        <f t="shared" si="2"/>
        <v>1095</v>
      </c>
      <c r="D29">
        <f t="shared" si="9"/>
        <v>10254</v>
      </c>
      <c r="E29">
        <v>162795</v>
      </c>
      <c r="F29">
        <f t="shared" si="0"/>
        <v>2721240</v>
      </c>
      <c r="G29">
        <f t="shared" si="1"/>
        <v>897.14285714285711</v>
      </c>
      <c r="H29">
        <f t="shared" si="3"/>
        <v>0.10285388669093963</v>
      </c>
      <c r="I29">
        <f t="shared" si="4"/>
        <v>9.8153782834296127E-4</v>
      </c>
      <c r="K29">
        <f t="shared" si="10"/>
        <v>2660329.1089713625</v>
      </c>
      <c r="L29">
        <f t="shared" si="11"/>
        <v>10372.272019583017</v>
      </c>
      <c r="M29">
        <f t="shared" si="12"/>
        <v>299649.78870005719</v>
      </c>
      <c r="N29">
        <f t="shared" si="13"/>
        <v>134681.6822088093</v>
      </c>
    </row>
    <row r="30" spans="1:14" x14ac:dyDescent="0.25">
      <c r="A30" s="1">
        <v>44223</v>
      </c>
      <c r="B30">
        <v>316114</v>
      </c>
      <c r="C30">
        <f t="shared" si="2"/>
        <v>1112</v>
      </c>
      <c r="D30">
        <f t="shared" si="9"/>
        <v>10963</v>
      </c>
      <c r="E30">
        <v>165466</v>
      </c>
      <c r="F30">
        <f t="shared" si="0"/>
        <v>2717457</v>
      </c>
      <c r="G30">
        <f t="shared" si="1"/>
        <v>896</v>
      </c>
      <c r="H30">
        <f t="shared" si="3"/>
        <v>9.6213314915246692E-2</v>
      </c>
      <c r="I30">
        <f t="shared" si="4"/>
        <v>1.425965525857447E-3</v>
      </c>
      <c r="K30">
        <f t="shared" si="10"/>
        <v>2650700.2691866462</v>
      </c>
      <c r="L30">
        <f t="shared" si="11"/>
        <v>10244.4554212399</v>
      </c>
      <c r="M30">
        <f t="shared" si="12"/>
        <v>300687.0159020155</v>
      </c>
      <c r="N30">
        <f t="shared" si="13"/>
        <v>143401.11138991045</v>
      </c>
    </row>
    <row r="31" spans="1:14" x14ac:dyDescent="0.25">
      <c r="A31" s="1">
        <v>44224</v>
      </c>
      <c r="B31">
        <v>317124</v>
      </c>
      <c r="C31">
        <f t="shared" si="2"/>
        <v>1010</v>
      </c>
      <c r="D31">
        <f t="shared" si="9"/>
        <v>11042</v>
      </c>
      <c r="E31">
        <v>169341</v>
      </c>
      <c r="F31">
        <f t="shared" si="0"/>
        <v>2712572</v>
      </c>
      <c r="G31">
        <f t="shared" si="1"/>
        <v>884.85714285714289</v>
      </c>
      <c r="H31">
        <f t="shared" si="3"/>
        <v>9.4506875865833007E-2</v>
      </c>
      <c r="I31">
        <f t="shared" si="4"/>
        <v>1.959026341051961E-3</v>
      </c>
      <c r="K31">
        <f t="shared" si="10"/>
        <v>2641117.446211895</v>
      </c>
      <c r="L31">
        <f t="shared" si="11"/>
        <v>10114.962920949132</v>
      </c>
      <c r="M31">
        <f t="shared" si="12"/>
        <v>301711.46144413948</v>
      </c>
      <c r="N31">
        <f t="shared" si="13"/>
        <v>152088.98132282842</v>
      </c>
    </row>
    <row r="32" spans="1:14" x14ac:dyDescent="0.25">
      <c r="A32" s="1">
        <v>44225</v>
      </c>
      <c r="B32">
        <v>317689</v>
      </c>
      <c r="C32">
        <f t="shared" si="2"/>
        <v>565</v>
      </c>
      <c r="D32">
        <f t="shared" si="9"/>
        <v>10387</v>
      </c>
      <c r="E32">
        <v>174655</v>
      </c>
      <c r="F32">
        <f t="shared" si="0"/>
        <v>2706693</v>
      </c>
      <c r="G32">
        <f t="shared" si="1"/>
        <v>870.28571428571433</v>
      </c>
      <c r="H32">
        <f t="shared" si="3"/>
        <v>9.9026626964288891E-2</v>
      </c>
      <c r="I32">
        <f t="shared" si="4"/>
        <v>2.912040634087427E-3</v>
      </c>
      <c r="K32">
        <f t="shared" si="10"/>
        <v>2631580.5386352492</v>
      </c>
      <c r="L32">
        <f t="shared" si="11"/>
        <v>9983.9126972019167</v>
      </c>
      <c r="M32">
        <f t="shared" si="12"/>
        <v>302722.95773623441</v>
      </c>
      <c r="N32">
        <f t="shared" si="13"/>
        <v>160745.44283112642</v>
      </c>
    </row>
    <row r="33" spans="1:14" x14ac:dyDescent="0.25">
      <c r="A33" s="1">
        <v>44226</v>
      </c>
      <c r="B33">
        <v>319110</v>
      </c>
      <c r="C33">
        <f t="shared" si="2"/>
        <v>1421</v>
      </c>
      <c r="D33">
        <f t="shared" si="9"/>
        <v>10323</v>
      </c>
      <c r="E33">
        <v>182537</v>
      </c>
      <c r="F33">
        <f t="shared" si="0"/>
        <v>2697390</v>
      </c>
      <c r="G33">
        <f t="shared" si="1"/>
        <v>872.57142857142856</v>
      </c>
      <c r="H33">
        <f t="shared" si="3"/>
        <v>0.10024681448735454</v>
      </c>
      <c r="I33">
        <f t="shared" si="4"/>
        <v>3.0221807006031755E-3</v>
      </c>
      <c r="K33">
        <f t="shared" si="10"/>
        <v>2622089.4341623206</v>
      </c>
      <c r="L33">
        <f t="shared" si="11"/>
        <v>9851.4223255539146</v>
      </c>
      <c r="M33">
        <f t="shared" si="12"/>
        <v>303721.34900595463</v>
      </c>
      <c r="N33">
        <f t="shared" si="13"/>
        <v>169370.64640598273</v>
      </c>
    </row>
    <row r="34" spans="1:14" x14ac:dyDescent="0.25">
      <c r="A34" s="1">
        <v>44227</v>
      </c>
      <c r="B34">
        <v>319408</v>
      </c>
      <c r="C34">
        <f t="shared" si="2"/>
        <v>298</v>
      </c>
      <c r="D34">
        <f t="shared" si="9"/>
        <v>8968</v>
      </c>
      <c r="E34">
        <v>190689</v>
      </c>
      <c r="F34">
        <f t="shared" si="0"/>
        <v>2688940</v>
      </c>
      <c r="G34">
        <f t="shared" si="1"/>
        <v>742.28571428571433</v>
      </c>
      <c r="H34">
        <f t="shared" si="3"/>
        <v>9.8472203075272949E-2</v>
      </c>
      <c r="I34">
        <f t="shared" si="4"/>
        <v>1.2346872745394096E-3</v>
      </c>
      <c r="K34">
        <f>K33-($R$4*K33*L33/$B$1)-($S$4*K33)</f>
        <v>2612644.0098688365</v>
      </c>
      <c r="L34">
        <f>L33+($R$4*K33*L33/$B$1)-(L33/10)</f>
        <v>9717.6086219428216</v>
      </c>
      <c r="M34">
        <f>M33+(L33/10)</f>
        <v>304706.49123851</v>
      </c>
      <c r="N34">
        <f>N33+($S$4*K33)</f>
        <v>177964.74217052222</v>
      </c>
    </row>
    <row r="35" spans="1:14" x14ac:dyDescent="0.25">
      <c r="A35" s="1">
        <v>44228</v>
      </c>
      <c r="B35">
        <v>320187</v>
      </c>
      <c r="C35">
        <f t="shared" si="2"/>
        <v>779</v>
      </c>
      <c r="D35">
        <f t="shared" si="9"/>
        <v>8492</v>
      </c>
      <c r="E35">
        <v>194009</v>
      </c>
      <c r="F35">
        <f t="shared" si="0"/>
        <v>2684841</v>
      </c>
      <c r="G35">
        <f t="shared" si="1"/>
        <v>740.28571428571433</v>
      </c>
      <c r="H35">
        <f t="shared" si="3"/>
        <v>0.1038699864626894</v>
      </c>
      <c r="I35">
        <f t="shared" si="4"/>
        <v>4.562653803335095E-4</v>
      </c>
      <c r="K35">
        <f>K34-($R$5*K34*L34/$B$1)-($S$5*K34)</f>
        <v>2598603.9733487195</v>
      </c>
      <c r="L35">
        <f>L34+($R$5*K34*L34/$B$1)-(L34/10)</f>
        <v>9628.6101438778514</v>
      </c>
      <c r="M35">
        <f>M34+(L34/10)</f>
        <v>305678.2521007043</v>
      </c>
      <c r="N35">
        <f>N34+($S$5*K34)</f>
        <v>191122.01630651002</v>
      </c>
    </row>
    <row r="36" spans="1:14" x14ac:dyDescent="0.25">
      <c r="A36" s="1">
        <v>44229</v>
      </c>
      <c r="B36">
        <v>321274</v>
      </c>
      <c r="C36">
        <f t="shared" si="2"/>
        <v>1087</v>
      </c>
      <c r="D36">
        <f t="shared" si="9"/>
        <v>8649</v>
      </c>
      <c r="E36">
        <v>195234</v>
      </c>
      <c r="F36">
        <f t="shared" si="0"/>
        <v>2682529</v>
      </c>
      <c r="G36">
        <f t="shared" si="1"/>
        <v>718.85714285714289</v>
      </c>
      <c r="H36">
        <f t="shared" si="3"/>
        <v>9.9117772344615246E-2</v>
      </c>
      <c r="I36">
        <f t="shared" si="4"/>
        <v>1.4941124588028684E-3</v>
      </c>
      <c r="K36">
        <f t="shared" ref="K36:K62" si="14">K35-($R$5*K35*L35/$B$1)-($S$5*K35)</f>
        <v>2584647.4276170488</v>
      </c>
      <c r="L36">
        <f t="shared" ref="L36:L62" si="15">L35+($R$5*K35*L35/$B$1)-(L35/10)</f>
        <v>9535.7263431894007</v>
      </c>
      <c r="M36">
        <f t="shared" ref="M36:M99" si="16">M35+(L35/10)</f>
        <v>306641.1131150921</v>
      </c>
      <c r="N36">
        <f t="shared" ref="N36:N62" si="17">N35+($S$5*K35)</f>
        <v>204208.58482448148</v>
      </c>
    </row>
    <row r="37" spans="1:14" x14ac:dyDescent="0.25">
      <c r="A37" s="1">
        <v>44230</v>
      </c>
      <c r="B37">
        <v>322308</v>
      </c>
      <c r="C37">
        <f t="shared" si="2"/>
        <v>1034</v>
      </c>
      <c r="D37">
        <f t="shared" si="9"/>
        <v>9168</v>
      </c>
      <c r="E37">
        <v>199242</v>
      </c>
      <c r="F37">
        <f t="shared" si="0"/>
        <v>2677487</v>
      </c>
      <c r="G37">
        <f t="shared" si="1"/>
        <v>696.57142857142856</v>
      </c>
      <c r="H37">
        <f t="shared" si="3"/>
        <v>9.077848793620498E-2</v>
      </c>
      <c r="I37">
        <f t="shared" si="4"/>
        <v>2.7167265424631378E-3</v>
      </c>
      <c r="K37">
        <f t="shared" si="14"/>
        <v>2570774.1867944929</v>
      </c>
      <c r="L37">
        <f t="shared" si="15"/>
        <v>9439.1111718954435</v>
      </c>
      <c r="M37">
        <f t="shared" si="16"/>
        <v>307594.68574941106</v>
      </c>
      <c r="N37">
        <f t="shared" si="17"/>
        <v>217224.86818401216</v>
      </c>
    </row>
    <row r="38" spans="1:14" x14ac:dyDescent="0.25">
      <c r="A38" s="1">
        <v>44231</v>
      </c>
      <c r="B38">
        <v>323216</v>
      </c>
      <c r="C38">
        <f t="shared" si="2"/>
        <v>908</v>
      </c>
      <c r="D38">
        <f t="shared" si="9"/>
        <v>9309</v>
      </c>
      <c r="E38">
        <v>206516</v>
      </c>
      <c r="F38">
        <f t="shared" si="0"/>
        <v>2669305</v>
      </c>
      <c r="G38">
        <f t="shared" si="1"/>
        <v>679</v>
      </c>
      <c r="H38">
        <f t="shared" si="3"/>
        <v>8.7415371417226356E-2</v>
      </c>
      <c r="I38">
        <f t="shared" si="4"/>
        <v>3.4379735549141068E-3</v>
      </c>
      <c r="K38">
        <f t="shared" si="14"/>
        <v>2556984.0473903455</v>
      </c>
      <c r="L38">
        <f t="shared" si="15"/>
        <v>9338.9217342761385</v>
      </c>
      <c r="M38">
        <f t="shared" si="16"/>
        <v>308538.59686660062</v>
      </c>
      <c r="N38">
        <f t="shared" si="17"/>
        <v>230171.28590858934</v>
      </c>
    </row>
    <row r="39" spans="1:14" x14ac:dyDescent="0.25">
      <c r="A39" s="1">
        <v>44232</v>
      </c>
      <c r="B39">
        <v>323797</v>
      </c>
      <c r="C39">
        <f t="shared" si="2"/>
        <v>581</v>
      </c>
      <c r="D39">
        <f t="shared" si="9"/>
        <v>8795</v>
      </c>
      <c r="E39">
        <v>215693</v>
      </c>
      <c r="F39">
        <f t="shared" si="0"/>
        <v>2659547</v>
      </c>
      <c r="G39">
        <f t="shared" si="1"/>
        <v>602.28571428571433</v>
      </c>
      <c r="H39">
        <f t="shared" si="3"/>
        <v>8.2371753634716244E-2</v>
      </c>
      <c r="I39">
        <f t="shared" si="4"/>
        <v>3.2877779561707315E-3</v>
      </c>
      <c r="K39">
        <f t="shared" si="14"/>
        <v>2543276.788477018</v>
      </c>
      <c r="L39">
        <f t="shared" si="15"/>
        <v>9235.317885844086</v>
      </c>
      <c r="M39">
        <f t="shared" si="16"/>
        <v>309472.48904002825</v>
      </c>
      <c r="N39">
        <f t="shared" si="17"/>
        <v>243048.25649692121</v>
      </c>
    </row>
    <row r="40" spans="1:14" x14ac:dyDescent="0.25">
      <c r="A40" s="1">
        <v>44233</v>
      </c>
      <c r="B40">
        <v>324306</v>
      </c>
      <c r="C40">
        <f t="shared" si="2"/>
        <v>509</v>
      </c>
      <c r="D40">
        <f t="shared" si="9"/>
        <v>8192</v>
      </c>
      <c r="E40">
        <v>224437</v>
      </c>
      <c r="F40">
        <f t="shared" si="0"/>
        <v>2650294</v>
      </c>
      <c r="G40">
        <f t="shared" si="1"/>
        <v>681.14285714285711</v>
      </c>
      <c r="H40">
        <f t="shared" si="3"/>
        <v>0.10036296263768957</v>
      </c>
      <c r="I40">
        <f t="shared" si="4"/>
        <v>4.9492622327937958E-3</v>
      </c>
      <c r="K40">
        <f t="shared" si="14"/>
        <v>2529652.1719015678</v>
      </c>
      <c r="L40">
        <f t="shared" si="15"/>
        <v>9128.4618345065046</v>
      </c>
      <c r="M40">
        <f t="shared" si="16"/>
        <v>310396.02082861267</v>
      </c>
      <c r="N40">
        <f t="shared" si="17"/>
        <v>255856.19733512471</v>
      </c>
    </row>
    <row r="41" spans="1:14" x14ac:dyDescent="0.25">
      <c r="A41" s="1">
        <v>44234</v>
      </c>
      <c r="B41">
        <v>324590</v>
      </c>
      <c r="C41">
        <f t="shared" si="2"/>
        <v>284</v>
      </c>
      <c r="D41">
        <f t="shared" si="9"/>
        <v>7466</v>
      </c>
      <c r="E41">
        <v>237554</v>
      </c>
      <c r="F41">
        <f t="shared" si="0"/>
        <v>2636893</v>
      </c>
      <c r="G41">
        <f t="shared" si="1"/>
        <v>676.14285714285711</v>
      </c>
      <c r="H41">
        <f t="shared" si="3"/>
        <v>0.10986952190451964</v>
      </c>
      <c r="I41">
        <f t="shared" si="4"/>
        <v>5.6107699478135818E-3</v>
      </c>
      <c r="K41">
        <f t="shared" si="14"/>
        <v>2516109.9425325831</v>
      </c>
      <c r="L41">
        <f t="shared" si="15"/>
        <v>9018.517745186673</v>
      </c>
      <c r="M41">
        <f t="shared" si="16"/>
        <v>311308.86701206333</v>
      </c>
      <c r="N41">
        <f t="shared" si="17"/>
        <v>268595.52460997866</v>
      </c>
    </row>
    <row r="42" spans="1:14" x14ac:dyDescent="0.25">
      <c r="A42" s="1">
        <v>44235</v>
      </c>
      <c r="B42">
        <v>325219</v>
      </c>
      <c r="C42">
        <f t="shared" si="2"/>
        <v>629</v>
      </c>
      <c r="D42">
        <f t="shared" si="9"/>
        <v>7530</v>
      </c>
      <c r="E42">
        <v>252349</v>
      </c>
      <c r="F42">
        <f t="shared" si="0"/>
        <v>2621469</v>
      </c>
      <c r="G42">
        <f t="shared" si="1"/>
        <v>666.85714285714289</v>
      </c>
      <c r="H42">
        <f t="shared" si="3"/>
        <v>0.10807179576758498</v>
      </c>
      <c r="I42">
        <f t="shared" si="4"/>
        <v>1.9492887384897552E-3</v>
      </c>
      <c r="K42">
        <f t="shared" si="14"/>
        <v>2502649.8285406907</v>
      </c>
      <c r="L42">
        <f t="shared" si="15"/>
        <v>8905.651349118576</v>
      </c>
      <c r="M42">
        <f t="shared" si="16"/>
        <v>312210.718786582</v>
      </c>
      <c r="N42">
        <f t="shared" si="17"/>
        <v>281266.65322342026</v>
      </c>
    </row>
    <row r="43" spans="1:14" x14ac:dyDescent="0.25">
      <c r="A43" s="1">
        <v>44236</v>
      </c>
      <c r="B43">
        <v>326150</v>
      </c>
      <c r="C43">
        <f t="shared" si="2"/>
        <v>931</v>
      </c>
      <c r="D43">
        <f t="shared" si="9"/>
        <v>7040</v>
      </c>
      <c r="E43">
        <v>257459</v>
      </c>
      <c r="F43">
        <f t="shared" si="0"/>
        <v>2615428</v>
      </c>
      <c r="G43">
        <f t="shared" si="1"/>
        <v>643.85714285714289</v>
      </c>
      <c r="H43">
        <f t="shared" si="3"/>
        <v>0.11186477493935884</v>
      </c>
      <c r="I43">
        <f t="shared" si="4"/>
        <v>4.4027210842737781E-3</v>
      </c>
      <c r="K43">
        <f t="shared" si="14"/>
        <v>2489271.5417108922</v>
      </c>
      <c r="L43">
        <f t="shared" si="15"/>
        <v>8790.0295589714606</v>
      </c>
      <c r="M43">
        <f t="shared" si="16"/>
        <v>313101.28392149386</v>
      </c>
      <c r="N43">
        <f t="shared" si="17"/>
        <v>293869.99670845398</v>
      </c>
    </row>
    <row r="44" spans="1:14" x14ac:dyDescent="0.25">
      <c r="A44" s="1">
        <v>44237</v>
      </c>
      <c r="B44">
        <v>327061</v>
      </c>
      <c r="C44">
        <f t="shared" si="2"/>
        <v>911</v>
      </c>
      <c r="D44">
        <f t="shared" si="9"/>
        <v>7653</v>
      </c>
      <c r="E44">
        <v>268974</v>
      </c>
      <c r="F44">
        <f t="shared" si="0"/>
        <v>2603002</v>
      </c>
      <c r="G44">
        <f t="shared" si="1"/>
        <v>595.42857142857144</v>
      </c>
      <c r="H44">
        <f t="shared" si="3"/>
        <v>9.5618674334532819E-2</v>
      </c>
      <c r="I44">
        <f t="shared" si="4"/>
        <v>5.2331884493365738E-3</v>
      </c>
      <c r="K44">
        <f t="shared" si="14"/>
        <v>2475974.7777848863</v>
      </c>
      <c r="L44">
        <f t="shared" si="15"/>
        <v>8671.8200909004699</v>
      </c>
      <c r="M44">
        <f t="shared" si="16"/>
        <v>313980.28687739099</v>
      </c>
      <c r="N44">
        <f t="shared" si="17"/>
        <v>306405.96714663377</v>
      </c>
    </row>
    <row r="45" spans="1:14" x14ac:dyDescent="0.25">
      <c r="A45" s="1">
        <v>44238</v>
      </c>
      <c r="B45">
        <v>327432</v>
      </c>
      <c r="C45">
        <f t="shared" si="2"/>
        <v>371</v>
      </c>
      <c r="D45">
        <f t="shared" si="9"/>
        <v>7245</v>
      </c>
      <c r="E45">
        <v>282596</v>
      </c>
      <c r="F45">
        <f t="shared" si="0"/>
        <v>2589009</v>
      </c>
      <c r="G45">
        <f t="shared" si="1"/>
        <v>549.28571428571433</v>
      </c>
      <c r="H45">
        <f t="shared" si="3"/>
        <v>9.3679727188144435E-2</v>
      </c>
      <c r="I45">
        <f t="shared" si="4"/>
        <v>6.348374995992675E-3</v>
      </c>
      <c r="K45">
        <f t="shared" si="14"/>
        <v>2462759.2168315058</v>
      </c>
      <c r="L45">
        <f t="shared" si="15"/>
        <v>8551.191094556043</v>
      </c>
      <c r="M45">
        <f t="shared" si="16"/>
        <v>314847.46888648102</v>
      </c>
      <c r="N45">
        <f t="shared" si="17"/>
        <v>318874.97508726886</v>
      </c>
    </row>
    <row r="46" spans="1:14" x14ac:dyDescent="0.25">
      <c r="A46" s="1">
        <v>44239</v>
      </c>
      <c r="B46">
        <v>328565</v>
      </c>
      <c r="C46">
        <f t="shared" si="2"/>
        <v>1133</v>
      </c>
      <c r="D46">
        <f t="shared" si="9"/>
        <v>7291</v>
      </c>
      <c r="E46">
        <v>299032</v>
      </c>
      <c r="F46">
        <f t="shared" si="0"/>
        <v>2571440</v>
      </c>
      <c r="G46">
        <f t="shared" si="1"/>
        <v>581.42857142857144</v>
      </c>
      <c r="H46">
        <f t="shared" si="3"/>
        <v>9.9209243688812246E-2</v>
      </c>
      <c r="I46">
        <f t="shared" si="4"/>
        <v>7.3184674734778953E-3</v>
      </c>
      <c r="K46">
        <f t="shared" si="14"/>
        <v>2449624.5236433609</v>
      </c>
      <c r="L46">
        <f t="shared" si="15"/>
        <v>8428.3107920189177</v>
      </c>
      <c r="M46">
        <f t="shared" si="16"/>
        <v>315702.58799593663</v>
      </c>
      <c r="N46">
        <f t="shared" si="17"/>
        <v>331277.42946849531</v>
      </c>
    </row>
    <row r="47" spans="1:14" x14ac:dyDescent="0.25">
      <c r="A47" s="1">
        <v>44240</v>
      </c>
      <c r="B47">
        <v>329039</v>
      </c>
      <c r="C47">
        <f t="shared" si="2"/>
        <v>474</v>
      </c>
      <c r="D47">
        <f t="shared" si="9"/>
        <v>6731</v>
      </c>
      <c r="E47">
        <v>317851</v>
      </c>
      <c r="F47">
        <f t="shared" si="0"/>
        <v>2552147</v>
      </c>
      <c r="G47">
        <f t="shared" si="1"/>
        <v>454.57142857142856</v>
      </c>
      <c r="H47">
        <f t="shared" si="3"/>
        <v>8.4651785418121822E-2</v>
      </c>
      <c r="I47">
        <f t="shared" si="4"/>
        <v>7.0215391198077542E-3</v>
      </c>
      <c r="K47">
        <f t="shared" si="14"/>
        <v>2436570.3481577691</v>
      </c>
      <c r="L47">
        <f t="shared" si="15"/>
        <v>8303.3471265597018</v>
      </c>
      <c r="M47">
        <f t="shared" si="16"/>
        <v>316545.41907513852</v>
      </c>
      <c r="N47">
        <f t="shared" si="17"/>
        <v>343613.73754034482</v>
      </c>
    </row>
    <row r="48" spans="1:14" x14ac:dyDescent="0.25">
      <c r="A48" s="1">
        <v>44241</v>
      </c>
      <c r="B48">
        <v>329258</v>
      </c>
      <c r="C48">
        <f t="shared" si="2"/>
        <v>219</v>
      </c>
      <c r="D48">
        <f t="shared" si="9"/>
        <v>6042</v>
      </c>
      <c r="E48">
        <v>335771</v>
      </c>
      <c r="F48">
        <f t="shared" si="0"/>
        <v>2534008</v>
      </c>
      <c r="G48">
        <f t="shared" si="1"/>
        <v>455.14285714285717</v>
      </c>
      <c r="H48">
        <f t="shared" si="3"/>
        <v>9.5099512799750846E-2</v>
      </c>
      <c r="I48">
        <f t="shared" si="4"/>
        <v>4.8401583578268105E-3</v>
      </c>
      <c r="K48">
        <f t="shared" si="14"/>
        <v>2423596.3259000317</v>
      </c>
      <c r="L48">
        <f t="shared" si="15"/>
        <v>8176.4674220526367</v>
      </c>
      <c r="M48">
        <f t="shared" si="16"/>
        <v>317375.7537877945</v>
      </c>
      <c r="N48">
        <f t="shared" si="17"/>
        <v>355884.30478993367</v>
      </c>
    </row>
    <row r="49" spans="1:14" x14ac:dyDescent="0.25">
      <c r="A49" s="1">
        <v>44242</v>
      </c>
      <c r="B49">
        <v>329726</v>
      </c>
      <c r="C49">
        <f t="shared" si="2"/>
        <v>468</v>
      </c>
      <c r="D49">
        <f t="shared" si="9"/>
        <v>5929</v>
      </c>
      <c r="E49">
        <f>(E50+E48)/2</f>
        <v>348036</v>
      </c>
      <c r="F49">
        <f t="shared" si="0"/>
        <v>2521275</v>
      </c>
      <c r="G49">
        <f t="shared" si="1"/>
        <v>483.14285714285717</v>
      </c>
      <c r="H49">
        <f t="shared" si="3"/>
        <v>0.1033934813178518</v>
      </c>
      <c r="I49">
        <f t="shared" si="4"/>
        <v>4.8646022349803173E-3</v>
      </c>
      <c r="K49">
        <f t="shared" si="14"/>
        <v>2410702.0784471263</v>
      </c>
      <c r="L49">
        <f t="shared" si="15"/>
        <v>8047.8380538027168</v>
      </c>
      <c r="M49">
        <f t="shared" si="16"/>
        <v>318193.40052999975</v>
      </c>
      <c r="N49">
        <f t="shared" si="17"/>
        <v>368089.53486888361</v>
      </c>
    </row>
    <row r="50" spans="1:14" x14ac:dyDescent="0.25">
      <c r="A50" s="1">
        <v>44243</v>
      </c>
      <c r="B50">
        <v>330318</v>
      </c>
      <c r="C50">
        <f t="shared" si="2"/>
        <v>592</v>
      </c>
      <c r="D50">
        <f t="shared" si="9"/>
        <v>6012</v>
      </c>
      <c r="E50">
        <v>360301</v>
      </c>
      <c r="F50">
        <f t="shared" si="0"/>
        <v>2508418</v>
      </c>
      <c r="G50">
        <f t="shared" si="1"/>
        <v>480.14285714285717</v>
      </c>
      <c r="H50">
        <f t="shared" si="3"/>
        <v>0.10185230342196906</v>
      </c>
      <c r="I50">
        <f t="shared" si="4"/>
        <v>2.9006329886007835E-3</v>
      </c>
      <c r="K50">
        <f t="shared" si="14"/>
        <v>2397887.2139098798</v>
      </c>
      <c r="L50">
        <f t="shared" si="15"/>
        <v>7917.6241314741856</v>
      </c>
      <c r="M50">
        <f t="shared" si="16"/>
        <v>318998.18433538004</v>
      </c>
      <c r="N50">
        <f t="shared" si="17"/>
        <v>380229.82952307828</v>
      </c>
    </row>
    <row r="51" spans="1:14" x14ac:dyDescent="0.25">
      <c r="A51" s="1">
        <v>44244</v>
      </c>
      <c r="B51">
        <v>330906</v>
      </c>
      <c r="C51">
        <f t="shared" si="2"/>
        <v>588</v>
      </c>
      <c r="D51">
        <f t="shared" si="9"/>
        <v>6316</v>
      </c>
      <c r="E51">
        <v>367577</v>
      </c>
      <c r="F51">
        <f t="shared" si="0"/>
        <v>2500554</v>
      </c>
      <c r="G51">
        <f t="shared" si="1"/>
        <v>520.57142857142856</v>
      </c>
      <c r="H51">
        <f t="shared" si="3"/>
        <v>0.10544384460938333</v>
      </c>
      <c r="I51">
        <f t="shared" si="4"/>
        <v>4.1074897802646938E-3</v>
      </c>
      <c r="K51">
        <f t="shared" si="14"/>
        <v>2385151.3274317002</v>
      </c>
      <c r="L51">
        <f t="shared" si="15"/>
        <v>7785.9891947371107</v>
      </c>
      <c r="M51">
        <f t="shared" si="16"/>
        <v>319789.94674852747</v>
      </c>
      <c r="N51">
        <f t="shared" si="17"/>
        <v>392305.58852484764</v>
      </c>
    </row>
    <row r="52" spans="1:14" x14ac:dyDescent="0.25">
      <c r="A52" s="1">
        <v>44245</v>
      </c>
      <c r="B52">
        <v>331502</v>
      </c>
      <c r="C52">
        <f t="shared" si="2"/>
        <v>596</v>
      </c>
      <c r="D52">
        <f t="shared" si="9"/>
        <v>6283</v>
      </c>
      <c r="E52">
        <v>377848</v>
      </c>
      <c r="F52">
        <f t="shared" si="0"/>
        <v>2489687</v>
      </c>
      <c r="G52">
        <f t="shared" si="1"/>
        <v>537</v>
      </c>
      <c r="H52">
        <f t="shared" si="3"/>
        <v>0.10982007539015146</v>
      </c>
      <c r="I52">
        <f t="shared" si="4"/>
        <v>1.3687664352988949E-2</v>
      </c>
      <c r="K52">
        <f t="shared" si="14"/>
        <v>2372494.0017019701</v>
      </c>
      <c r="L52">
        <f t="shared" si="15"/>
        <v>7653.0949221774235</v>
      </c>
      <c r="M52">
        <f t="shared" si="16"/>
        <v>320568.54566800117</v>
      </c>
      <c r="N52">
        <f t="shared" si="17"/>
        <v>404317.20960766391</v>
      </c>
    </row>
    <row r="53" spans="1:14" x14ac:dyDescent="0.25">
      <c r="A53" s="1">
        <v>44246</v>
      </c>
      <c r="B53">
        <v>331747</v>
      </c>
      <c r="C53">
        <f t="shared" si="2"/>
        <v>245</v>
      </c>
      <c r="D53">
        <f t="shared" si="9"/>
        <v>5597</v>
      </c>
      <c r="E53">
        <v>411926</v>
      </c>
      <c r="F53">
        <f t="shared" si="0"/>
        <v>2455364</v>
      </c>
      <c r="G53">
        <f t="shared" si="1"/>
        <v>531.57142857142856</v>
      </c>
      <c r="H53">
        <f t="shared" si="3"/>
        <v>0.12373988333789622</v>
      </c>
      <c r="I53">
        <f t="shared" si="4"/>
        <v>7.5357462274432633E-3</v>
      </c>
      <c r="K53">
        <f t="shared" si="14"/>
        <v>2359914.8074822254</v>
      </c>
      <c r="L53">
        <f t="shared" si="15"/>
        <v>7519.1008539451032</v>
      </c>
      <c r="M53">
        <f t="shared" si="16"/>
        <v>321333.8551602189</v>
      </c>
      <c r="N53">
        <f t="shared" si="17"/>
        <v>416265.08840342326</v>
      </c>
    </row>
    <row r="54" spans="1:14" x14ac:dyDescent="0.25">
      <c r="A54" s="1">
        <v>44247</v>
      </c>
      <c r="B54">
        <v>332225</v>
      </c>
      <c r="C54">
        <f t="shared" si="2"/>
        <v>478</v>
      </c>
      <c r="D54">
        <f t="shared" si="9"/>
        <v>5164</v>
      </c>
      <c r="E54">
        <v>430429</v>
      </c>
      <c r="F54">
        <f t="shared" si="0"/>
        <v>2436383</v>
      </c>
      <c r="G54">
        <f t="shared" si="1"/>
        <v>584.71428571428567</v>
      </c>
      <c r="H54">
        <f t="shared" si="3"/>
        <v>0.14867268119757557</v>
      </c>
      <c r="I54">
        <f t="shared" si="4"/>
        <v>6.3384943992795878E-3</v>
      </c>
      <c r="K54">
        <f t="shared" si="14"/>
        <v>2347413.304143277</v>
      </c>
      <c r="L54">
        <f t="shared" si="15"/>
        <v>7384.164128545237</v>
      </c>
      <c r="M54">
        <f t="shared" si="16"/>
        <v>322085.76524561341</v>
      </c>
      <c r="N54">
        <f t="shared" si="17"/>
        <v>428149.61838237714</v>
      </c>
    </row>
    <row r="55" spans="1:14" x14ac:dyDescent="0.25">
      <c r="A55" s="1">
        <v>44248</v>
      </c>
      <c r="B55">
        <v>332640</v>
      </c>
      <c r="C55">
        <f t="shared" si="2"/>
        <v>415</v>
      </c>
      <c r="D55">
        <f t="shared" si="9"/>
        <v>5208</v>
      </c>
      <c r="E55">
        <v>445872</v>
      </c>
      <c r="F55">
        <f t="shared" si="0"/>
        <v>2420525</v>
      </c>
      <c r="G55">
        <f t="shared" si="1"/>
        <v>577.85714285714289</v>
      </c>
      <c r="H55">
        <f t="shared" si="3"/>
        <v>0.14664227883639691</v>
      </c>
      <c r="I55">
        <f t="shared" si="4"/>
        <v>5.2724099110730109E-3</v>
      </c>
      <c r="K55">
        <f t="shared" si="14"/>
        <v>2334989.0402114685</v>
      </c>
      <c r="L55">
        <f t="shared" si="15"/>
        <v>7248.4392341079556</v>
      </c>
      <c r="M55">
        <f t="shared" si="16"/>
        <v>322824.18165846792</v>
      </c>
      <c r="N55">
        <f t="shared" si="17"/>
        <v>439971.19079576863</v>
      </c>
    </row>
    <row r="56" spans="1:14" x14ac:dyDescent="0.25">
      <c r="A56" s="1">
        <v>44249</v>
      </c>
      <c r="B56">
        <v>333087</v>
      </c>
      <c r="C56">
        <f t="shared" si="2"/>
        <v>447</v>
      </c>
      <c r="D56">
        <f t="shared" si="9"/>
        <v>4522</v>
      </c>
      <c r="E56">
        <v>458634</v>
      </c>
      <c r="F56">
        <f t="shared" si="0"/>
        <v>2407316</v>
      </c>
      <c r="G56">
        <f t="shared" si="1"/>
        <v>545</v>
      </c>
      <c r="H56">
        <f t="shared" si="3"/>
        <v>0.16015927901187671</v>
      </c>
      <c r="I56">
        <f t="shared" si="4"/>
        <v>1.2408009584117749E-3</v>
      </c>
      <c r="K56">
        <f t="shared" si="14"/>
        <v>2322641.5539223086</v>
      </c>
      <c r="L56">
        <f t="shared" si="15"/>
        <v>7112.0777744059233</v>
      </c>
      <c r="M56">
        <f t="shared" si="16"/>
        <v>323549.02558187873</v>
      </c>
      <c r="N56">
        <f t="shared" si="17"/>
        <v>451730.19462121965</v>
      </c>
    </row>
    <row r="57" spans="1:14" x14ac:dyDescent="0.25">
      <c r="A57" s="1">
        <v>44250</v>
      </c>
      <c r="B57">
        <v>333962</v>
      </c>
      <c r="C57">
        <f t="shared" si="2"/>
        <v>875</v>
      </c>
      <c r="D57">
        <f t="shared" si="9"/>
        <v>4923</v>
      </c>
      <c r="E57">
        <v>461621</v>
      </c>
      <c r="F57">
        <f t="shared" si="0"/>
        <v>2403454</v>
      </c>
      <c r="G57">
        <f t="shared" si="1"/>
        <v>543.28571428571433</v>
      </c>
      <c r="H57">
        <f t="shared" si="3"/>
        <v>0.14688650528694364</v>
      </c>
      <c r="I57">
        <f t="shared" si="4"/>
        <v>2.1140408761723753E-3</v>
      </c>
      <c r="K57">
        <f t="shared" si="14"/>
        <v>2310370.3737797644</v>
      </c>
      <c r="L57">
        <f t="shared" si="15"/>
        <v>6975.2282498225077</v>
      </c>
      <c r="M57">
        <f t="shared" si="16"/>
        <v>324260.23335931933</v>
      </c>
      <c r="N57">
        <f t="shared" si="17"/>
        <v>463427.01651090628</v>
      </c>
    </row>
    <row r="58" spans="1:14" x14ac:dyDescent="0.25">
      <c r="A58" s="1">
        <v>44251</v>
      </c>
      <c r="B58">
        <v>334665</v>
      </c>
      <c r="C58">
        <f t="shared" si="2"/>
        <v>703</v>
      </c>
      <c r="D58">
        <f t="shared" si="9"/>
        <v>5407</v>
      </c>
      <c r="E58">
        <v>466702</v>
      </c>
      <c r="F58">
        <f t="shared" si="0"/>
        <v>2397670</v>
      </c>
      <c r="G58">
        <f t="shared" si="1"/>
        <v>504.85714285714283</v>
      </c>
      <c r="H58">
        <f t="shared" si="3"/>
        <v>0.12457818216142591</v>
      </c>
      <c r="I58">
        <f t="shared" si="4"/>
        <v>2.8473476333273555E-3</v>
      </c>
      <c r="K58">
        <f t="shared" si="14"/>
        <v>2298175.0191195495</v>
      </c>
      <c r="L58">
        <f t="shared" si="15"/>
        <v>6838.0358534101906</v>
      </c>
      <c r="M58">
        <f t="shared" si="16"/>
        <v>324957.75618430157</v>
      </c>
      <c r="N58">
        <f t="shared" si="17"/>
        <v>475062.04074255086</v>
      </c>
    </row>
    <row r="59" spans="1:14" x14ac:dyDescent="0.25">
      <c r="A59" s="1">
        <v>44252</v>
      </c>
      <c r="B59">
        <v>335223</v>
      </c>
      <c r="C59">
        <f t="shared" si="2"/>
        <v>558</v>
      </c>
      <c r="D59">
        <f t="shared" si="9"/>
        <v>5497</v>
      </c>
      <c r="E59">
        <v>473529</v>
      </c>
      <c r="F59">
        <f t="shared" si="0"/>
        <v>2390285</v>
      </c>
      <c r="G59">
        <f t="shared" si="1"/>
        <v>477.71428571428572</v>
      </c>
      <c r="H59">
        <f t="shared" si="3"/>
        <v>0.11630866444770238</v>
      </c>
      <c r="I59">
        <f t="shared" si="4"/>
        <v>7.444300575036031E-3</v>
      </c>
      <c r="K59">
        <f t="shared" si="14"/>
        <v>2286055.0006748019</v>
      </c>
      <c r="L59">
        <f t="shared" si="15"/>
        <v>6700.6422821173765</v>
      </c>
      <c r="M59">
        <f t="shared" si="16"/>
        <v>325641.5597696426</v>
      </c>
      <c r="N59">
        <f t="shared" si="17"/>
        <v>486635.64917325054</v>
      </c>
    </row>
    <row r="60" spans="1:14" x14ac:dyDescent="0.25">
      <c r="A60" s="1">
        <v>44253</v>
      </c>
      <c r="B60">
        <v>335840</v>
      </c>
      <c r="C60">
        <f t="shared" si="2"/>
        <v>617</v>
      </c>
      <c r="D60">
        <f t="shared" si="9"/>
        <v>5522</v>
      </c>
      <c r="E60">
        <v>491323</v>
      </c>
      <c r="F60">
        <f t="shared" si="0"/>
        <v>2371874</v>
      </c>
      <c r="G60">
        <f t="shared" si="1"/>
        <v>480.71428571428572</v>
      </c>
      <c r="H60">
        <f t="shared" si="3"/>
        <v>0.11741356507891273</v>
      </c>
      <c r="I60">
        <f t="shared" si="4"/>
        <v>1.0260241479943706E-2</v>
      </c>
      <c r="K60">
        <f t="shared" si="14"/>
        <v>2274009.8211426004</v>
      </c>
      <c r="L60">
        <f t="shared" si="15"/>
        <v>6563.1855632028364</v>
      </c>
      <c r="M60">
        <f t="shared" si="16"/>
        <v>326311.62399785436</v>
      </c>
      <c r="N60">
        <f t="shared" si="17"/>
        <v>498148.22119615471</v>
      </c>
    </row>
    <row r="61" spans="1:14" x14ac:dyDescent="0.25">
      <c r="A61" s="1">
        <v>44254</v>
      </c>
      <c r="B61">
        <v>336270</v>
      </c>
      <c r="C61">
        <f t="shared" si="2"/>
        <v>430</v>
      </c>
      <c r="D61">
        <f t="shared" si="9"/>
        <v>5364</v>
      </c>
      <c r="E61">
        <v>515659</v>
      </c>
      <c r="F61">
        <f t="shared" si="0"/>
        <v>2347108</v>
      </c>
      <c r="G61">
        <f t="shared" si="1"/>
        <v>468.71428571428572</v>
      </c>
      <c r="H61">
        <f t="shared" si="3"/>
        <v>0.11909831321519389</v>
      </c>
      <c r="I61">
        <f t="shared" si="4"/>
        <v>8.1082762275958321E-3</v>
      </c>
      <c r="K61">
        <f t="shared" si="14"/>
        <v>2262038.9757498414</v>
      </c>
      <c r="L61">
        <f t="shared" si="15"/>
        <v>6425.7998958006092</v>
      </c>
      <c r="M61">
        <f t="shared" si="16"/>
        <v>326967.94255417463</v>
      </c>
      <c r="N61">
        <f t="shared" si="17"/>
        <v>509600.13369999558</v>
      </c>
    </row>
    <row r="62" spans="1:14" x14ac:dyDescent="0.25">
      <c r="A62" s="1">
        <v>44255</v>
      </c>
      <c r="B62">
        <v>336455</v>
      </c>
      <c r="C62">
        <f t="shared" si="2"/>
        <v>185</v>
      </c>
      <c r="D62">
        <f t="shared" si="9"/>
        <v>4953</v>
      </c>
      <c r="E62">
        <v>534690</v>
      </c>
      <c r="F62">
        <f t="shared" si="0"/>
        <v>2327892</v>
      </c>
      <c r="G62">
        <f t="shared" si="1"/>
        <v>463</v>
      </c>
      <c r="H62">
        <f t="shared" si="3"/>
        <v>0.12846034923503044</v>
      </c>
      <c r="I62">
        <f t="shared" si="4"/>
        <v>5.2193142980859935E-3</v>
      </c>
      <c r="K62">
        <f t="shared" si="14"/>
        <v>2250141.9528170452</v>
      </c>
      <c r="L62">
        <f t="shared" si="15"/>
        <v>6288.6155075445558</v>
      </c>
      <c r="M62">
        <f t="shared" si="16"/>
        <v>327610.52254375472</v>
      </c>
      <c r="N62">
        <f t="shared" si="17"/>
        <v>520991.76103146811</v>
      </c>
    </row>
    <row r="63" spans="1:14" x14ac:dyDescent="0.25">
      <c r="A63" s="1">
        <v>44256</v>
      </c>
      <c r="B63">
        <v>336890</v>
      </c>
      <c r="C63">
        <f t="shared" si="2"/>
        <v>435</v>
      </c>
      <c r="D63">
        <f t="shared" si="9"/>
        <v>5143</v>
      </c>
      <c r="E63">
        <v>546840</v>
      </c>
      <c r="F63">
        <f t="shared" si="0"/>
        <v>2315307</v>
      </c>
      <c r="G63">
        <f t="shared" si="1"/>
        <v>459.57142857142856</v>
      </c>
      <c r="H63">
        <f t="shared" si="3"/>
        <v>0.12346594218678598</v>
      </c>
      <c r="I63">
        <f t="shared" si="4"/>
        <v>1.7220178576750297E-3</v>
      </c>
      <c r="K63">
        <f>K62-($R$6*K62*L62/$B$1)-($S$6*K62)</f>
        <v>2234128.2880292237</v>
      </c>
      <c r="L63">
        <f>L62+($R$6*K62*L62/$B$1)-(L62/10)</f>
        <v>6357.0218714706243</v>
      </c>
      <c r="M63">
        <f t="shared" si="16"/>
        <v>328239.38409450918</v>
      </c>
      <c r="N63">
        <f>N62+($S$6*K62)</f>
        <v>536308.15790460922</v>
      </c>
    </row>
    <row r="64" spans="1:14" x14ac:dyDescent="0.25">
      <c r="A64" s="1">
        <v>44257</v>
      </c>
      <c r="B64">
        <v>337496</v>
      </c>
      <c r="C64">
        <f t="shared" si="2"/>
        <v>606</v>
      </c>
      <c r="D64">
        <f t="shared" si="9"/>
        <v>5271</v>
      </c>
      <c r="E64">
        <v>550827</v>
      </c>
      <c r="F64">
        <f t="shared" si="0"/>
        <v>2310714</v>
      </c>
      <c r="G64">
        <f t="shared" si="1"/>
        <v>462.57142857142856</v>
      </c>
      <c r="H64">
        <f t="shared" si="3"/>
        <v>0.12149512598668832</v>
      </c>
      <c r="I64">
        <f t="shared" si="4"/>
        <v>2.8558272464701386E-3</v>
      </c>
      <c r="K64">
        <f t="shared" ref="K64:K93" si="18">K63-($R$6*K63*L63/$B$1)-($S$6*K63)</f>
        <v>2218221.0574865784</v>
      </c>
      <c r="L64">
        <f t="shared" ref="L64:L93" si="19">L63+($R$6*K63*L63/$B$1)-(L63/10)</f>
        <v>6421.1560969555985</v>
      </c>
      <c r="M64">
        <f t="shared" si="16"/>
        <v>328875.08628165623</v>
      </c>
      <c r="N64">
        <f t="shared" ref="N64:N93" si="20">N63+($S$6*K63)</f>
        <v>551515.55203462276</v>
      </c>
    </row>
    <row r="65" spans="1:14" x14ac:dyDescent="0.25">
      <c r="A65" s="1">
        <v>44258</v>
      </c>
      <c r="B65">
        <v>338009</v>
      </c>
      <c r="C65">
        <f t="shared" si="2"/>
        <v>513</v>
      </c>
      <c r="D65">
        <f t="shared" si="9"/>
        <v>5369</v>
      </c>
      <c r="E65">
        <v>557426</v>
      </c>
      <c r="F65">
        <f t="shared" si="0"/>
        <v>2303602</v>
      </c>
      <c r="G65">
        <f t="shared" si="1"/>
        <v>485</v>
      </c>
      <c r="H65">
        <f t="shared" si="3"/>
        <v>0.12544696274715167</v>
      </c>
      <c r="I65">
        <f t="shared" si="4"/>
        <v>4.420468466340974E-3</v>
      </c>
      <c r="K65">
        <f t="shared" si="18"/>
        <v>2202420.0779300784</v>
      </c>
      <c r="L65">
        <f t="shared" si="19"/>
        <v>6480.9041740754383</v>
      </c>
      <c r="M65">
        <f t="shared" si="16"/>
        <v>329517.20189135178</v>
      </c>
      <c r="N65">
        <f t="shared" si="20"/>
        <v>566614.66790430748</v>
      </c>
    </row>
    <row r="66" spans="1:14" x14ac:dyDescent="0.25">
      <c r="A66" s="1">
        <v>44259</v>
      </c>
      <c r="B66">
        <v>338588</v>
      </c>
      <c r="C66">
        <f t="shared" si="2"/>
        <v>579</v>
      </c>
      <c r="D66">
        <f t="shared" si="9"/>
        <v>5501</v>
      </c>
      <c r="E66">
        <v>567609</v>
      </c>
      <c r="F66">
        <f t="shared" si="0"/>
        <v>2292840</v>
      </c>
      <c r="G66">
        <f t="shared" si="1"/>
        <v>481.28571428571428</v>
      </c>
      <c r="H66">
        <f t="shared" si="3"/>
        <v>0.12206940832007117</v>
      </c>
      <c r="I66">
        <f t="shared" si="4"/>
        <v>6.2782400865302422E-3</v>
      </c>
      <c r="K66">
        <f t="shared" si="18"/>
        <v>2186725.168724562</v>
      </c>
      <c r="L66">
        <f t="shared" si="19"/>
        <v>6536.1621174474913</v>
      </c>
      <c r="M66">
        <f t="shared" si="16"/>
        <v>330165.29230875935</v>
      </c>
      <c r="N66">
        <f t="shared" si="20"/>
        <v>581606.22874904424</v>
      </c>
    </row>
    <row r="67" spans="1:14" x14ac:dyDescent="0.25">
      <c r="A67" s="1">
        <v>44260</v>
      </c>
      <c r="B67">
        <v>339121</v>
      </c>
      <c r="C67">
        <f t="shared" si="2"/>
        <v>533</v>
      </c>
      <c r="D67">
        <f t="shared" si="9"/>
        <v>5159</v>
      </c>
      <c r="E67">
        <v>582004</v>
      </c>
      <c r="F67">
        <f t="shared" si="0"/>
        <v>2277912</v>
      </c>
      <c r="G67">
        <f t="shared" si="1"/>
        <v>464.14285714285717</v>
      </c>
      <c r="H67">
        <f t="shared" si="3"/>
        <v>0.12634802688714311</v>
      </c>
      <c r="I67">
        <f t="shared" si="4"/>
        <v>1.1086029662252098E-2</v>
      </c>
      <c r="K67">
        <f t="shared" si="18"/>
        <v>2171136.1505436087</v>
      </c>
      <c r="L67">
        <f t="shared" si="19"/>
        <v>6586.8362610441927</v>
      </c>
      <c r="M67">
        <f t="shared" si="16"/>
        <v>330818.90852050408</v>
      </c>
      <c r="N67">
        <f t="shared" si="20"/>
        <v>596490.95657465584</v>
      </c>
    </row>
    <row r="68" spans="1:14" x14ac:dyDescent="0.25">
      <c r="A68" s="1">
        <v>44261</v>
      </c>
      <c r="B68">
        <v>339511</v>
      </c>
      <c r="C68">
        <f t="shared" si="2"/>
        <v>390</v>
      </c>
      <c r="D68">
        <f t="shared" si="9"/>
        <v>4846</v>
      </c>
      <c r="E68">
        <v>607257</v>
      </c>
      <c r="F68">
        <f t="shared" si="0"/>
        <v>2252269</v>
      </c>
      <c r="G68">
        <f t="shared" si="1"/>
        <v>460.28571428571428</v>
      </c>
      <c r="H68">
        <f t="shared" si="3"/>
        <v>0.13490967315787639</v>
      </c>
      <c r="I68">
        <f t="shared" si="4"/>
        <v>1.0620845023396407E-2</v>
      </c>
      <c r="K68">
        <f t="shared" si="18"/>
        <v>2155652.8440762823</v>
      </c>
      <c r="L68">
        <f t="shared" si="19"/>
        <v>6632.8435106066772</v>
      </c>
      <c r="M68">
        <f t="shared" si="16"/>
        <v>331477.59214660851</v>
      </c>
      <c r="N68">
        <f t="shared" si="20"/>
        <v>611269.57216631563</v>
      </c>
    </row>
    <row r="69" spans="1:14" x14ac:dyDescent="0.25">
      <c r="A69" s="1">
        <v>44262</v>
      </c>
      <c r="B69">
        <v>339672</v>
      </c>
      <c r="C69">
        <f t="shared" si="2"/>
        <v>161</v>
      </c>
      <c r="D69">
        <f t="shared" si="9"/>
        <v>4449</v>
      </c>
      <c r="E69">
        <v>631178</v>
      </c>
      <c r="F69">
        <f t="shared" ref="F69:F132" si="21">$B$1-(B69+E69)</f>
        <v>2228187</v>
      </c>
      <c r="G69">
        <f t="shared" ref="G69:G132" si="22">AVERAGE(C69:C75)</f>
        <v>456.28571428571428</v>
      </c>
      <c r="H69">
        <f t="shared" ref="H69:H132" si="23">(G69*$B$1)/(F69*D69)</f>
        <v>0.14724552102625071</v>
      </c>
      <c r="I69">
        <f t="shared" ref="I69:I132" si="24">(E70-E69)/F69</f>
        <v>7.3916596766788424E-3</v>
      </c>
      <c r="K69">
        <f t="shared" si="18"/>
        <v>2140275.0687606623</v>
      </c>
      <c r="L69">
        <f t="shared" si="19"/>
        <v>6674.1115528289174</v>
      </c>
      <c r="M69">
        <f t="shared" si="16"/>
        <v>332140.8764976692</v>
      </c>
      <c r="N69">
        <f t="shared" si="20"/>
        <v>625942.79508865287</v>
      </c>
    </row>
    <row r="70" spans="1:14" x14ac:dyDescent="0.25">
      <c r="A70" s="1">
        <v>44263</v>
      </c>
      <c r="B70">
        <v>340128</v>
      </c>
      <c r="C70">
        <f t="shared" ref="C70:C133" si="25">B70-B69</f>
        <v>456</v>
      </c>
      <c r="D70">
        <f t="shared" si="9"/>
        <v>4288</v>
      </c>
      <c r="E70">
        <v>647648</v>
      </c>
      <c r="F70">
        <f t="shared" si="21"/>
        <v>2211261</v>
      </c>
      <c r="G70">
        <f t="shared" si="22"/>
        <v>459.14285714285717</v>
      </c>
      <c r="H70">
        <f t="shared" si="23"/>
        <v>0.15490745273185205</v>
      </c>
      <c r="I70">
        <f t="shared" si="24"/>
        <v>2.625651155607592E-3</v>
      </c>
      <c r="K70">
        <f t="shared" si="18"/>
        <v>2125002.6415488832</v>
      </c>
      <c r="L70">
        <f t="shared" si="19"/>
        <v>6710.5790207404507</v>
      </c>
      <c r="M70">
        <f t="shared" si="16"/>
        <v>332808.28765295207</v>
      </c>
      <c r="N70">
        <f t="shared" si="20"/>
        <v>640511.34367723751</v>
      </c>
    </row>
    <row r="71" spans="1:14" x14ac:dyDescent="0.25">
      <c r="A71" s="1">
        <v>44264</v>
      </c>
      <c r="B71">
        <v>340891</v>
      </c>
      <c r="C71">
        <f t="shared" si="25"/>
        <v>763</v>
      </c>
      <c r="D71">
        <f t="shared" si="9"/>
        <v>4621</v>
      </c>
      <c r="E71">
        <v>653454</v>
      </c>
      <c r="F71">
        <f t="shared" si="21"/>
        <v>2204692</v>
      </c>
      <c r="G71">
        <f t="shared" si="22"/>
        <v>453.57142857142856</v>
      </c>
      <c r="H71">
        <f t="shared" si="23"/>
        <v>0.14242330450159343</v>
      </c>
      <c r="I71">
        <f t="shared" si="24"/>
        <v>4.5112877445012724E-3</v>
      </c>
      <c r="K71">
        <f t="shared" si="18"/>
        <v>2109835.3757081553</v>
      </c>
      <c r="L71">
        <f t="shared" si="19"/>
        <v>6742.1956149732596</v>
      </c>
      <c r="M71">
        <f t="shared" si="16"/>
        <v>333479.34555502614</v>
      </c>
      <c r="N71">
        <f t="shared" si="20"/>
        <v>654975.93502165854</v>
      </c>
    </row>
    <row r="72" spans="1:14" x14ac:dyDescent="0.25">
      <c r="A72" s="1">
        <v>44265</v>
      </c>
      <c r="B72">
        <v>341378</v>
      </c>
      <c r="C72">
        <f t="shared" si="25"/>
        <v>487</v>
      </c>
      <c r="D72">
        <f t="shared" si="9"/>
        <v>4923</v>
      </c>
      <c r="E72">
        <v>663400</v>
      </c>
      <c r="F72">
        <f t="shared" si="21"/>
        <v>2194259</v>
      </c>
      <c r="G72">
        <f t="shared" si="22"/>
        <v>422.85714285714283</v>
      </c>
      <c r="H72">
        <f t="shared" si="23"/>
        <v>0.12522620230940695</v>
      </c>
      <c r="I72">
        <f t="shared" si="24"/>
        <v>7.7415656036958266E-3</v>
      </c>
      <c r="K72">
        <f t="shared" si="18"/>
        <v>2094773.0796619945</v>
      </c>
      <c r="L72">
        <f t="shared" si="19"/>
        <v>6768.9221808539933</v>
      </c>
      <c r="M72">
        <f t="shared" si="16"/>
        <v>334153.56511652347</v>
      </c>
      <c r="N72">
        <f t="shared" si="20"/>
        <v>669337.28494044137</v>
      </c>
    </row>
    <row r="73" spans="1:14" x14ac:dyDescent="0.25">
      <c r="A73" s="1">
        <v>44266</v>
      </c>
      <c r="B73">
        <v>341837</v>
      </c>
      <c r="C73">
        <f t="shared" si="25"/>
        <v>459</v>
      </c>
      <c r="D73">
        <f t="shared" si="9"/>
        <v>4947</v>
      </c>
      <c r="E73">
        <v>680387</v>
      </c>
      <c r="F73">
        <f t="shared" si="21"/>
        <v>2176813</v>
      </c>
      <c r="G73">
        <f t="shared" si="22"/>
        <v>412.85714285714283</v>
      </c>
      <c r="H73">
        <f t="shared" si="23"/>
        <v>0.12264674682276663</v>
      </c>
      <c r="I73">
        <f t="shared" si="24"/>
        <v>8.5992687474762408E-3</v>
      </c>
      <c r="K73">
        <f t="shared" si="18"/>
        <v>2079815.5558756124</v>
      </c>
      <c r="L73">
        <f t="shared" si="19"/>
        <v>6790.7307415144023</v>
      </c>
      <c r="M73">
        <f t="shared" si="16"/>
        <v>334830.45733460889</v>
      </c>
      <c r="N73">
        <f t="shared" si="20"/>
        <v>683596.10794807761</v>
      </c>
    </row>
    <row r="74" spans="1:14" x14ac:dyDescent="0.25">
      <c r="A74" s="1">
        <v>44267</v>
      </c>
      <c r="B74">
        <v>342343</v>
      </c>
      <c r="C74">
        <f t="shared" si="25"/>
        <v>506</v>
      </c>
      <c r="D74">
        <f t="shared" si="9"/>
        <v>4847</v>
      </c>
      <c r="E74">
        <v>699106</v>
      </c>
      <c r="F74">
        <f t="shared" si="21"/>
        <v>2157588</v>
      </c>
      <c r="G74">
        <f t="shared" si="22"/>
        <v>431.85714285714283</v>
      </c>
      <c r="H74">
        <f t="shared" si="23"/>
        <v>0.1321045672059202</v>
      </c>
      <c r="I74">
        <f t="shared" si="24"/>
        <v>1.6309879365291241E-2</v>
      </c>
      <c r="K74">
        <f t="shared" si="18"/>
        <v>2064962.5997891265</v>
      </c>
      <c r="L74">
        <f t="shared" si="19"/>
        <v>6807.6044874588679</v>
      </c>
      <c r="M74">
        <f t="shared" si="16"/>
        <v>335509.5304087603</v>
      </c>
      <c r="N74">
        <f t="shared" si="20"/>
        <v>697753.11721446749</v>
      </c>
    </row>
    <row r="75" spans="1:14" x14ac:dyDescent="0.25">
      <c r="A75" s="1">
        <v>44268</v>
      </c>
      <c r="B75">
        <v>342705</v>
      </c>
      <c r="C75">
        <f t="shared" si="25"/>
        <v>362</v>
      </c>
      <c r="D75">
        <f t="shared" si="9"/>
        <v>4696</v>
      </c>
      <c r="E75">
        <v>734296</v>
      </c>
      <c r="F75">
        <f t="shared" si="21"/>
        <v>2122036</v>
      </c>
      <c r="G75">
        <f t="shared" si="22"/>
        <v>423</v>
      </c>
      <c r="H75">
        <f t="shared" si="23"/>
        <v>0.13579344145778316</v>
      </c>
      <c r="I75">
        <f t="shared" si="24"/>
        <v>4.618206288677478E-5</v>
      </c>
      <c r="K75">
        <f t="shared" si="18"/>
        <v>2050213.9988019397</v>
      </c>
      <c r="L75">
        <f t="shared" si="19"/>
        <v>6819.5377232663413</v>
      </c>
      <c r="M75">
        <f t="shared" si="16"/>
        <v>336190.29085750616</v>
      </c>
      <c r="N75">
        <f t="shared" si="20"/>
        <v>711809.02451710124</v>
      </c>
    </row>
    <row r="76" spans="1:14" x14ac:dyDescent="0.25">
      <c r="A76" s="1">
        <v>44269</v>
      </c>
      <c r="B76">
        <v>342886</v>
      </c>
      <c r="C76">
        <f t="shared" si="25"/>
        <v>181</v>
      </c>
      <c r="D76">
        <f t="shared" si="9"/>
        <v>4298</v>
      </c>
      <c r="E76">
        <v>734394</v>
      </c>
      <c r="F76">
        <f t="shared" si="21"/>
        <v>2121757</v>
      </c>
      <c r="G76">
        <f t="shared" si="22"/>
        <v>419.85714285714283</v>
      </c>
      <c r="H76">
        <f t="shared" si="23"/>
        <v>0.14728507980539635</v>
      </c>
      <c r="I76">
        <f t="shared" si="24"/>
        <v>7.8939294179305175E-3</v>
      </c>
      <c r="K76">
        <f t="shared" si="18"/>
        <v>2035569.5313113204</v>
      </c>
      <c r="L76">
        <f t="shared" si="19"/>
        <v>6826.5357723333027</v>
      </c>
      <c r="M76">
        <f t="shared" si="16"/>
        <v>336872.2446298328</v>
      </c>
      <c r="N76">
        <f t="shared" si="20"/>
        <v>725764.54018632683</v>
      </c>
    </row>
    <row r="77" spans="1:14" x14ac:dyDescent="0.25">
      <c r="A77" s="1">
        <v>44270</v>
      </c>
      <c r="B77">
        <v>343303</v>
      </c>
      <c r="C77">
        <f t="shared" si="25"/>
        <v>417</v>
      </c>
      <c r="D77">
        <f t="shared" si="9"/>
        <v>4182</v>
      </c>
      <c r="E77">
        <v>751143</v>
      </c>
      <c r="F77">
        <f t="shared" si="21"/>
        <v>2104591</v>
      </c>
      <c r="G77">
        <f t="shared" si="22"/>
        <v>414.14285714285717</v>
      </c>
      <c r="H77">
        <f t="shared" si="23"/>
        <v>0.15052814202479611</v>
      </c>
      <c r="I77">
        <f t="shared" si="24"/>
        <v>2.2042287551357958E-3</v>
      </c>
      <c r="K77">
        <f t="shared" si="18"/>
        <v>2021028.9658078903</v>
      </c>
      <c r="L77">
        <f t="shared" si="19"/>
        <v>6828.6148407828314</v>
      </c>
      <c r="M77">
        <f t="shared" si="16"/>
        <v>337554.89820706611</v>
      </c>
      <c r="N77">
        <f t="shared" si="20"/>
        <v>739620.37304407416</v>
      </c>
    </row>
    <row r="78" spans="1:14" x14ac:dyDescent="0.25">
      <c r="A78" s="1">
        <v>44271</v>
      </c>
      <c r="B78">
        <v>343851</v>
      </c>
      <c r="C78">
        <f t="shared" si="25"/>
        <v>548</v>
      </c>
      <c r="D78">
        <f t="shared" ref="D78:D141" si="26">SUM(C69:C78)</f>
        <v>4340</v>
      </c>
      <c r="E78">
        <v>755782</v>
      </c>
      <c r="F78">
        <f t="shared" si="21"/>
        <v>2099404</v>
      </c>
      <c r="G78">
        <f t="shared" si="22"/>
        <v>416.42857142857144</v>
      </c>
      <c r="H78">
        <f t="shared" si="23"/>
        <v>0.14620897496600274</v>
      </c>
      <c r="I78">
        <f t="shared" si="24"/>
        <v>4.0154253302365816E-4</v>
      </c>
      <c r="K78">
        <f t="shared" si="18"/>
        <v>2006592.0600303763</v>
      </c>
      <c r="L78">
        <f t="shared" si="19"/>
        <v>6825.8018418712736</v>
      </c>
      <c r="M78">
        <f t="shared" si="16"/>
        <v>338237.7596911444</v>
      </c>
      <c r="N78">
        <f t="shared" si="20"/>
        <v>753377.2303364214</v>
      </c>
    </row>
    <row r="79" spans="1:14" x14ac:dyDescent="0.25">
      <c r="A79" s="1">
        <v>44272</v>
      </c>
      <c r="B79">
        <v>344268</v>
      </c>
      <c r="C79">
        <f t="shared" si="25"/>
        <v>417</v>
      </c>
      <c r="D79">
        <f t="shared" si="26"/>
        <v>4596</v>
      </c>
      <c r="E79">
        <v>756625</v>
      </c>
      <c r="F79">
        <f t="shared" si="21"/>
        <v>2098144</v>
      </c>
      <c r="G79">
        <f t="shared" si="22"/>
        <v>447.71428571428572</v>
      </c>
      <c r="H79">
        <f t="shared" si="23"/>
        <v>0.14852682720018553</v>
      </c>
      <c r="I79">
        <f t="shared" si="24"/>
        <v>7.6305534796467737E-3</v>
      </c>
      <c r="K79">
        <f t="shared" si="18"/>
        <v>1992258.5601816562</v>
      </c>
      <c r="L79">
        <f t="shared" si="19"/>
        <v>6818.1341824169131</v>
      </c>
      <c r="M79">
        <f t="shared" si="16"/>
        <v>338920.3398753315</v>
      </c>
      <c r="N79">
        <f t="shared" si="20"/>
        <v>767035.81766040879</v>
      </c>
    </row>
    <row r="80" spans="1:14" x14ac:dyDescent="0.25">
      <c r="A80" s="1">
        <v>44273</v>
      </c>
      <c r="B80">
        <v>344860</v>
      </c>
      <c r="C80">
        <f t="shared" si="25"/>
        <v>592</v>
      </c>
      <c r="D80">
        <f t="shared" si="26"/>
        <v>4732</v>
      </c>
      <c r="E80">
        <v>772635</v>
      </c>
      <c r="F80">
        <f t="shared" si="21"/>
        <v>2081542</v>
      </c>
      <c r="G80">
        <f t="shared" si="22"/>
        <v>474.57142857142856</v>
      </c>
      <c r="H80">
        <f t="shared" si="23"/>
        <v>0.1541313339473333</v>
      </c>
      <c r="I80">
        <f t="shared" si="24"/>
        <v>1.0506153611120986E-2</v>
      </c>
      <c r="K80">
        <f t="shared" si="18"/>
        <v>1978028.2002077713</v>
      </c>
      <c r="L80">
        <f t="shared" si="19"/>
        <v>6805.6595129534217</v>
      </c>
      <c r="M80">
        <f t="shared" si="16"/>
        <v>339602.15329357318</v>
      </c>
      <c r="N80">
        <f t="shared" si="20"/>
        <v>780596.83888551546</v>
      </c>
    </row>
    <row r="81" spans="1:14" x14ac:dyDescent="0.25">
      <c r="A81" s="1">
        <v>44274</v>
      </c>
      <c r="B81">
        <v>345304</v>
      </c>
      <c r="C81">
        <f t="shared" si="25"/>
        <v>444</v>
      </c>
      <c r="D81">
        <f t="shared" si="26"/>
        <v>4413</v>
      </c>
      <c r="E81">
        <v>794504</v>
      </c>
      <c r="F81">
        <f t="shared" si="21"/>
        <v>2059229</v>
      </c>
      <c r="G81">
        <f t="shared" si="22"/>
        <v>518.85714285714289</v>
      </c>
      <c r="H81">
        <f t="shared" si="23"/>
        <v>0.18265370660016605</v>
      </c>
      <c r="I81">
        <f t="shared" si="24"/>
        <v>9.2155850563487591E-3</v>
      </c>
      <c r="K81">
        <f t="shared" si="18"/>
        <v>1963900.7011412419</v>
      </c>
      <c r="L81">
        <f t="shared" si="19"/>
        <v>6788.4354434737552</v>
      </c>
      <c r="M81">
        <f t="shared" si="16"/>
        <v>340282.71924486849</v>
      </c>
      <c r="N81">
        <f t="shared" si="20"/>
        <v>794060.99607022922</v>
      </c>
    </row>
    <row r="82" spans="1:14" x14ac:dyDescent="0.25">
      <c r="A82" s="1">
        <v>44275</v>
      </c>
      <c r="B82">
        <v>345644</v>
      </c>
      <c r="C82">
        <f t="shared" si="25"/>
        <v>340</v>
      </c>
      <c r="D82">
        <f t="shared" si="26"/>
        <v>4266</v>
      </c>
      <c r="E82">
        <v>813481</v>
      </c>
      <c r="F82">
        <f t="shared" si="21"/>
        <v>2039912</v>
      </c>
      <c r="G82">
        <f t="shared" si="22"/>
        <v>535.85714285714289</v>
      </c>
      <c r="H82">
        <f t="shared" si="23"/>
        <v>0.19698629116496597</v>
      </c>
      <c r="I82">
        <f t="shared" si="24"/>
        <v>9.9117020734227745E-3</v>
      </c>
      <c r="K82">
        <f t="shared" si="18"/>
        <v>1949875.7705096751</v>
      </c>
      <c r="L82">
        <f t="shared" si="19"/>
        <v>6766.5292267767163</v>
      </c>
      <c r="M82">
        <f t="shared" si="16"/>
        <v>340961.56278921588</v>
      </c>
      <c r="N82">
        <f t="shared" si="20"/>
        <v>807428.98937414552</v>
      </c>
    </row>
    <row r="83" spans="1:14" x14ac:dyDescent="0.25">
      <c r="A83" s="1">
        <v>44276</v>
      </c>
      <c r="B83">
        <v>345785</v>
      </c>
      <c r="C83">
        <f t="shared" si="25"/>
        <v>141</v>
      </c>
      <c r="D83">
        <f t="shared" si="26"/>
        <v>3948</v>
      </c>
      <c r="E83">
        <v>833700</v>
      </c>
      <c r="F83">
        <f t="shared" si="21"/>
        <v>2019552</v>
      </c>
      <c r="G83">
        <f t="shared" si="22"/>
        <v>558.57142857142856</v>
      </c>
      <c r="H83">
        <f t="shared" si="23"/>
        <v>0.22411235361169704</v>
      </c>
      <c r="I83">
        <f t="shared" si="24"/>
        <v>6.4870822835955697E-3</v>
      </c>
      <c r="K83">
        <f t="shared" si="18"/>
        <v>1935953.1018103196</v>
      </c>
      <c r="L83">
        <f t="shared" si="19"/>
        <v>6740.0174115580512</v>
      </c>
      <c r="M83">
        <f t="shared" si="16"/>
        <v>341638.21571189357</v>
      </c>
      <c r="N83">
        <f t="shared" si="20"/>
        <v>820701.51696604199</v>
      </c>
    </row>
    <row r="84" spans="1:14" x14ac:dyDescent="0.25">
      <c r="A84" s="1">
        <v>44277</v>
      </c>
      <c r="B84">
        <v>346218</v>
      </c>
      <c r="C84">
        <f t="shared" si="25"/>
        <v>433</v>
      </c>
      <c r="D84">
        <f t="shared" si="26"/>
        <v>3875</v>
      </c>
      <c r="E84">
        <v>846801</v>
      </c>
      <c r="F84">
        <f t="shared" si="21"/>
        <v>2006018</v>
      </c>
      <c r="G84">
        <f t="shared" si="22"/>
        <v>561.28571428571433</v>
      </c>
      <c r="H84">
        <f t="shared" si="23"/>
        <v>0.2309918831746795</v>
      </c>
      <c r="I84">
        <f t="shared" si="24"/>
        <v>2.6455395714295683E-3</v>
      </c>
      <c r="K84">
        <f t="shared" si="18"/>
        <v>1922132.3740508882</v>
      </c>
      <c r="L84">
        <f t="shared" si="19"/>
        <v>6708.9854675002061</v>
      </c>
      <c r="M84">
        <f t="shared" si="16"/>
        <v>342312.21745304938</v>
      </c>
      <c r="N84">
        <f t="shared" si="20"/>
        <v>833879.2749283755</v>
      </c>
    </row>
    <row r="85" spans="1:14" x14ac:dyDescent="0.25">
      <c r="A85" s="1">
        <v>44278</v>
      </c>
      <c r="B85">
        <v>346985</v>
      </c>
      <c r="C85">
        <f t="shared" si="25"/>
        <v>767</v>
      </c>
      <c r="D85">
        <f t="shared" si="26"/>
        <v>4280</v>
      </c>
      <c r="E85">
        <v>852108</v>
      </c>
      <c r="F85">
        <f t="shared" si="21"/>
        <v>1999944</v>
      </c>
      <c r="G85">
        <f t="shared" si="22"/>
        <v>571.57142857142856</v>
      </c>
      <c r="H85">
        <f t="shared" si="23"/>
        <v>0.21361324146782384</v>
      </c>
      <c r="I85">
        <f t="shared" si="24"/>
        <v>3.9741112751157034E-3</v>
      </c>
      <c r="K85">
        <f t="shared" si="18"/>
        <v>1908413.2513566506</v>
      </c>
      <c r="L85">
        <f t="shared" si="19"/>
        <v>6673.5273847094113</v>
      </c>
      <c r="M85">
        <f t="shared" si="16"/>
        <v>342983.1159997994</v>
      </c>
      <c r="N85">
        <f t="shared" si="20"/>
        <v>846962.957158654</v>
      </c>
    </row>
    <row r="86" spans="1:14" x14ac:dyDescent="0.25">
      <c r="A86" s="1">
        <v>44279</v>
      </c>
      <c r="B86">
        <v>347590</v>
      </c>
      <c r="C86">
        <f t="shared" si="25"/>
        <v>605</v>
      </c>
      <c r="D86">
        <f t="shared" si="26"/>
        <v>4704</v>
      </c>
      <c r="E86">
        <v>860056</v>
      </c>
      <c r="F86">
        <f t="shared" si="21"/>
        <v>1991391</v>
      </c>
      <c r="G86">
        <f t="shared" si="22"/>
        <v>538.71428571428567</v>
      </c>
      <c r="H86">
        <f t="shared" si="23"/>
        <v>0.18397292041003033</v>
      </c>
      <c r="I86">
        <f t="shared" si="24"/>
        <v>8.6718278831229029E-3</v>
      </c>
      <c r="K86">
        <f t="shared" si="18"/>
        <v>1894795.3826434838</v>
      </c>
      <c r="L86">
        <f t="shared" si="19"/>
        <v>6633.7452499255251</v>
      </c>
      <c r="M86">
        <f t="shared" si="16"/>
        <v>343650.46873827034</v>
      </c>
      <c r="N86">
        <f t="shared" si="20"/>
        <v>859953.25526813371</v>
      </c>
    </row>
    <row r="87" spans="1:14" x14ac:dyDescent="0.25">
      <c r="A87" s="1">
        <v>44280</v>
      </c>
      <c r="B87">
        <v>348492</v>
      </c>
      <c r="C87">
        <f t="shared" si="25"/>
        <v>902</v>
      </c>
      <c r="D87">
        <f t="shared" si="26"/>
        <v>5189</v>
      </c>
      <c r="E87">
        <v>877325</v>
      </c>
      <c r="F87">
        <f t="shared" si="21"/>
        <v>1973220</v>
      </c>
      <c r="G87">
        <f t="shared" si="22"/>
        <v>544.57142857142856</v>
      </c>
      <c r="H87">
        <f t="shared" si="23"/>
        <v>0.17014333284628147</v>
      </c>
      <c r="I87">
        <f t="shared" si="24"/>
        <v>9.8144150170786839E-3</v>
      </c>
      <c r="K87">
        <f t="shared" si="18"/>
        <v>1881278.4013562703</v>
      </c>
      <c r="L87">
        <f t="shared" si="19"/>
        <v>6589.7488019890261</v>
      </c>
      <c r="M87">
        <f t="shared" si="16"/>
        <v>344313.84326326288</v>
      </c>
      <c r="N87">
        <f t="shared" si="20"/>
        <v>872850.85847829108</v>
      </c>
    </row>
    <row r="88" spans="1:14" x14ac:dyDescent="0.25">
      <c r="A88" s="1">
        <v>44281</v>
      </c>
      <c r="B88">
        <v>349055</v>
      </c>
      <c r="C88">
        <f t="shared" si="25"/>
        <v>563</v>
      </c>
      <c r="D88">
        <f t="shared" si="26"/>
        <v>5204</v>
      </c>
      <c r="E88">
        <v>896691</v>
      </c>
      <c r="F88">
        <f t="shared" si="21"/>
        <v>1953291</v>
      </c>
      <c r="G88">
        <f t="shared" si="22"/>
        <v>520.71428571428567</v>
      </c>
      <c r="H88">
        <f t="shared" si="23"/>
        <v>0.16387568456256563</v>
      </c>
      <c r="I88">
        <f t="shared" si="24"/>
        <v>1.2670923072906187E-2</v>
      </c>
      <c r="K88">
        <f t="shared" si="18"/>
        <v>1867861.9252717465</v>
      </c>
      <c r="L88">
        <f t="shared" si="19"/>
        <v>6541.6549690908605</v>
      </c>
      <c r="M88">
        <f t="shared" si="16"/>
        <v>344972.81814346177</v>
      </c>
      <c r="N88">
        <f t="shared" si="20"/>
        <v>885656.45351551403</v>
      </c>
    </row>
    <row r="89" spans="1:14" x14ac:dyDescent="0.25">
      <c r="A89" s="1">
        <v>44282</v>
      </c>
      <c r="B89">
        <v>349554</v>
      </c>
      <c r="C89">
        <f t="shared" si="25"/>
        <v>499</v>
      </c>
      <c r="D89">
        <f t="shared" si="26"/>
        <v>5286</v>
      </c>
      <c r="E89">
        <v>921441</v>
      </c>
      <c r="F89">
        <f t="shared" si="21"/>
        <v>1928042</v>
      </c>
      <c r="G89">
        <f t="shared" si="22"/>
        <v>522.71428571428567</v>
      </c>
      <c r="H89">
        <f t="shared" si="23"/>
        <v>0.16407408220860473</v>
      </c>
      <c r="I89">
        <f t="shared" si="24"/>
        <v>1.1118015063987196E-2</v>
      </c>
      <c r="K89">
        <f t="shared" si="18"/>
        <v>1854545.5563646364</v>
      </c>
      <c r="L89">
        <f t="shared" si="19"/>
        <v>6489.5873903549182</v>
      </c>
      <c r="M89">
        <f t="shared" si="16"/>
        <v>345626.98364037083</v>
      </c>
      <c r="N89">
        <f t="shared" si="20"/>
        <v>898370.72450445092</v>
      </c>
    </row>
    <row r="90" spans="1:14" x14ac:dyDescent="0.25">
      <c r="A90" s="1">
        <v>44283</v>
      </c>
      <c r="B90">
        <v>349714</v>
      </c>
      <c r="C90">
        <f t="shared" si="25"/>
        <v>160</v>
      </c>
      <c r="D90">
        <f t="shared" si="26"/>
        <v>4854</v>
      </c>
      <c r="E90">
        <v>942877</v>
      </c>
      <c r="F90">
        <f t="shared" si="21"/>
        <v>1906446</v>
      </c>
      <c r="G90">
        <f t="shared" si="22"/>
        <v>521.85714285714289</v>
      </c>
      <c r="H90">
        <f t="shared" si="23"/>
        <v>0.1804041878653582</v>
      </c>
      <c r="I90">
        <f t="shared" si="24"/>
        <v>6.9695129051648985E-3</v>
      </c>
      <c r="K90">
        <f t="shared" si="18"/>
        <v>1841328.8807356481</v>
      </c>
      <c r="L90">
        <f t="shared" si="19"/>
        <v>6433.6759243100814</v>
      </c>
      <c r="M90">
        <f t="shared" si="16"/>
        <v>346275.9423794063</v>
      </c>
      <c r="N90">
        <f t="shared" si="20"/>
        <v>910994.35286044853</v>
      </c>
    </row>
    <row r="91" spans="1:14" x14ac:dyDescent="0.25">
      <c r="A91" s="1">
        <v>44284</v>
      </c>
      <c r="B91">
        <v>350219</v>
      </c>
      <c r="C91">
        <f t="shared" si="25"/>
        <v>505</v>
      </c>
      <c r="D91">
        <f t="shared" si="26"/>
        <v>4915</v>
      </c>
      <c r="E91">
        <v>956164</v>
      </c>
      <c r="F91">
        <f t="shared" si="21"/>
        <v>1892654</v>
      </c>
      <c r="G91">
        <f t="shared" si="22"/>
        <v>521.14285714285711</v>
      </c>
      <c r="H91">
        <f t="shared" si="23"/>
        <v>0.17921786679927648</v>
      </c>
      <c r="I91">
        <f t="shared" si="24"/>
        <v>3.3492651060362854E-3</v>
      </c>
      <c r="K91">
        <f t="shared" si="18"/>
        <v>1828211.4685996759</v>
      </c>
      <c r="L91">
        <f t="shared" si="19"/>
        <v>6374.0561467997522</v>
      </c>
      <c r="M91">
        <f t="shared" si="16"/>
        <v>346919.30997183733</v>
      </c>
      <c r="N91">
        <f t="shared" si="20"/>
        <v>923528.01718149998</v>
      </c>
    </row>
    <row r="92" spans="1:14" x14ac:dyDescent="0.25">
      <c r="A92" s="1">
        <v>44285</v>
      </c>
      <c r="B92">
        <v>350756</v>
      </c>
      <c r="C92">
        <f t="shared" si="25"/>
        <v>537</v>
      </c>
      <c r="D92">
        <f t="shared" si="26"/>
        <v>5112</v>
      </c>
      <c r="E92">
        <v>962503</v>
      </c>
      <c r="F92">
        <f t="shared" si="21"/>
        <v>1885778</v>
      </c>
      <c r="G92">
        <f t="shared" si="22"/>
        <v>515.71428571428567</v>
      </c>
      <c r="H92">
        <f t="shared" si="23"/>
        <v>0.17113822175791105</v>
      </c>
      <c r="I92">
        <f t="shared" si="24"/>
        <v>4.2762191519892584E-3</v>
      </c>
      <c r="K92">
        <f t="shared" si="18"/>
        <v>1815192.8743323314</v>
      </c>
      <c r="L92">
        <f t="shared" si="19"/>
        <v>6310.8688408520857</v>
      </c>
      <c r="M92">
        <f t="shared" si="16"/>
        <v>347556.7155865173</v>
      </c>
      <c r="N92">
        <f t="shared" si="20"/>
        <v>935972.39314011205</v>
      </c>
    </row>
    <row r="93" spans="1:14" x14ac:dyDescent="0.25">
      <c r="A93" s="1">
        <v>44286</v>
      </c>
      <c r="B93">
        <v>351402</v>
      </c>
      <c r="C93">
        <f t="shared" si="25"/>
        <v>646</v>
      </c>
      <c r="D93">
        <f t="shared" si="26"/>
        <v>5617</v>
      </c>
      <c r="E93">
        <v>970567</v>
      </c>
      <c r="F93">
        <f t="shared" si="21"/>
        <v>1877068</v>
      </c>
      <c r="G93">
        <f t="shared" si="22"/>
        <v>543</v>
      </c>
      <c r="H93">
        <f t="shared" si="23"/>
        <v>0.16475350510083939</v>
      </c>
      <c r="I93">
        <f t="shared" si="24"/>
        <v>9.0630707038849949E-3</v>
      </c>
      <c r="K93">
        <f t="shared" si="18"/>
        <v>1802272.6365727258</v>
      </c>
      <c r="L93">
        <f t="shared" si="19"/>
        <v>6244.2594809947404</v>
      </c>
      <c r="M93">
        <f t="shared" si="16"/>
        <v>348187.8024706025</v>
      </c>
      <c r="N93">
        <f t="shared" si="20"/>
        <v>948328.15337548964</v>
      </c>
    </row>
    <row r="94" spans="1:14" x14ac:dyDescent="0.25">
      <c r="A94" s="1">
        <v>44287</v>
      </c>
      <c r="B94">
        <v>352137</v>
      </c>
      <c r="C94">
        <f t="shared" si="25"/>
        <v>735</v>
      </c>
      <c r="D94">
        <f t="shared" si="26"/>
        <v>5919</v>
      </c>
      <c r="E94">
        <v>987579</v>
      </c>
      <c r="F94">
        <f t="shared" si="21"/>
        <v>1859321</v>
      </c>
      <c r="G94">
        <f t="shared" si="22"/>
        <v>489.42857142857144</v>
      </c>
      <c r="H94">
        <f t="shared" si="23"/>
        <v>0.14226755484909623</v>
      </c>
      <c r="I94">
        <f t="shared" si="24"/>
        <v>1.1583260771001887E-2</v>
      </c>
      <c r="K94">
        <f>K93-($R$7*K93*L93/$B$1)-($S$7*K93)</f>
        <v>1786690.4728337526</v>
      </c>
      <c r="L94">
        <f>L93+($R$7*K93*L93/$B$1)-(L93/10)</f>
        <v>6256.4203209809257</v>
      </c>
      <c r="M94">
        <f t="shared" si="16"/>
        <v>348812.22841870197</v>
      </c>
      <c r="N94">
        <f>N93+($S$7*K93)</f>
        <v>963273.73032637709</v>
      </c>
    </row>
    <row r="95" spans="1:14" x14ac:dyDescent="0.25">
      <c r="A95" s="1">
        <v>44288</v>
      </c>
      <c r="B95">
        <v>352714</v>
      </c>
      <c r="C95">
        <f t="shared" si="25"/>
        <v>577</v>
      </c>
      <c r="D95">
        <f t="shared" si="26"/>
        <v>5729</v>
      </c>
      <c r="E95">
        <v>1009116</v>
      </c>
      <c r="F95">
        <f t="shared" si="21"/>
        <v>1837207</v>
      </c>
      <c r="G95">
        <f t="shared" si="22"/>
        <v>473.85714285714283</v>
      </c>
      <c r="H95">
        <f t="shared" si="23"/>
        <v>0.14402231284314862</v>
      </c>
      <c r="I95">
        <f t="shared" si="24"/>
        <v>2.5447867333403366E-2</v>
      </c>
      <c r="K95">
        <f t="shared" ref="K95:K123" si="27">K94-($R$7*K94*L94/$B$1)-($S$7*K94)</f>
        <v>1771241.8009655965</v>
      </c>
      <c r="L95">
        <f t="shared" ref="L95:L123" si="28">L94+($R$7*K94*L94/$B$1)-(L94/10)</f>
        <v>6263.0902971155647</v>
      </c>
      <c r="M95">
        <f t="shared" si="16"/>
        <v>349437.87045080005</v>
      </c>
      <c r="N95">
        <f t="shared" ref="N95:N123" si="29">N94+($S$7*K94)</f>
        <v>978090.09018630045</v>
      </c>
    </row>
    <row r="96" spans="1:14" x14ac:dyDescent="0.25">
      <c r="A96" s="1">
        <v>44289</v>
      </c>
      <c r="B96">
        <v>353207</v>
      </c>
      <c r="C96">
        <f t="shared" si="25"/>
        <v>493</v>
      </c>
      <c r="D96">
        <f t="shared" si="26"/>
        <v>5617</v>
      </c>
      <c r="E96">
        <v>1055869</v>
      </c>
      <c r="F96">
        <f t="shared" si="21"/>
        <v>1789961</v>
      </c>
      <c r="G96">
        <f t="shared" si="22"/>
        <v>479.85714285714283</v>
      </c>
      <c r="H96">
        <f t="shared" si="23"/>
        <v>0.15268038082084706</v>
      </c>
      <c r="I96">
        <f t="shared" si="24"/>
        <v>3.9330465859312017E-4</v>
      </c>
      <c r="K96">
        <f t="shared" si="27"/>
        <v>1755926.0382145925</v>
      </c>
      <c r="L96">
        <f t="shared" si="28"/>
        <v>6264.2942509918057</v>
      </c>
      <c r="M96">
        <f t="shared" si="16"/>
        <v>350064.17948051164</v>
      </c>
      <c r="N96">
        <f t="shared" si="29"/>
        <v>992778.33995371661</v>
      </c>
    </row>
    <row r="97" spans="1:14" x14ac:dyDescent="0.25">
      <c r="A97" s="1">
        <v>44290</v>
      </c>
      <c r="B97">
        <v>353362</v>
      </c>
      <c r="C97">
        <f t="shared" si="25"/>
        <v>155</v>
      </c>
      <c r="D97">
        <f t="shared" si="26"/>
        <v>4870</v>
      </c>
      <c r="E97">
        <v>1056573</v>
      </c>
      <c r="F97">
        <f t="shared" si="21"/>
        <v>1789102</v>
      </c>
      <c r="G97">
        <f t="shared" si="22"/>
        <v>471.71428571428572</v>
      </c>
      <c r="H97">
        <f t="shared" si="23"/>
        <v>0.17319455315752735</v>
      </c>
      <c r="I97">
        <f t="shared" si="24"/>
        <v>5.0388407145037012E-3</v>
      </c>
      <c r="K97">
        <f t="shared" si="27"/>
        <v>1740742.5898527007</v>
      </c>
      <c r="L97">
        <f t="shared" si="28"/>
        <v>6260.0713469782004</v>
      </c>
      <c r="M97">
        <f t="shared" si="16"/>
        <v>350690.6089056108</v>
      </c>
      <c r="N97">
        <f t="shared" si="29"/>
        <v>1007339.5817945229</v>
      </c>
    </row>
    <row r="98" spans="1:14" x14ac:dyDescent="0.25">
      <c r="A98" s="1">
        <v>44291</v>
      </c>
      <c r="B98">
        <v>353829</v>
      </c>
      <c r="C98">
        <f t="shared" si="25"/>
        <v>467</v>
      </c>
      <c r="D98">
        <f t="shared" si="26"/>
        <v>4774</v>
      </c>
      <c r="E98">
        <v>1065588</v>
      </c>
      <c r="F98">
        <f t="shared" si="21"/>
        <v>1779620</v>
      </c>
      <c r="G98">
        <f t="shared" si="22"/>
        <v>522.42857142857144</v>
      </c>
      <c r="H98">
        <f t="shared" si="23"/>
        <v>0.19671455327576473</v>
      </c>
      <c r="I98">
        <f t="shared" si="24"/>
        <v>3.3366673784291029E-3</v>
      </c>
      <c r="K98">
        <f t="shared" si="27"/>
        <v>1725690.8482042707</v>
      </c>
      <c r="L98">
        <f t="shared" si="28"/>
        <v>6250.4747124749447</v>
      </c>
      <c r="M98">
        <f t="shared" si="16"/>
        <v>351316.61604030861</v>
      </c>
      <c r="N98">
        <f t="shared" si="29"/>
        <v>1021774.9129427584</v>
      </c>
    </row>
    <row r="99" spans="1:14" x14ac:dyDescent="0.25">
      <c r="A99" s="1">
        <v>44292</v>
      </c>
      <c r="B99">
        <v>354557</v>
      </c>
      <c r="C99">
        <f t="shared" si="25"/>
        <v>728</v>
      </c>
      <c r="D99">
        <f t="shared" si="26"/>
        <v>5003</v>
      </c>
      <c r="E99">
        <v>1071526</v>
      </c>
      <c r="F99">
        <f t="shared" si="21"/>
        <v>1772954</v>
      </c>
      <c r="G99">
        <f t="shared" si="22"/>
        <v>481.14285714285717</v>
      </c>
      <c r="H99">
        <f t="shared" si="23"/>
        <v>0.17352631143073596</v>
      </c>
      <c r="I99">
        <f t="shared" si="24"/>
        <v>4.9820807533641591E-3</v>
      </c>
      <c r="K99">
        <f t="shared" si="27"/>
        <v>1710770.1917736186</v>
      </c>
      <c r="L99">
        <f t="shared" si="28"/>
        <v>6235.5710214044002</v>
      </c>
      <c r="M99">
        <f t="shared" si="16"/>
        <v>351941.66351155611</v>
      </c>
      <c r="N99">
        <f t="shared" si="29"/>
        <v>1036085.4255932336</v>
      </c>
    </row>
    <row r="100" spans="1:14" x14ac:dyDescent="0.25">
      <c r="A100" s="1">
        <v>44293</v>
      </c>
      <c r="B100">
        <v>354828</v>
      </c>
      <c r="C100">
        <f t="shared" si="25"/>
        <v>271</v>
      </c>
      <c r="D100">
        <f t="shared" si="26"/>
        <v>5114</v>
      </c>
      <c r="E100">
        <v>1080359</v>
      </c>
      <c r="F100">
        <f t="shared" si="21"/>
        <v>1763850</v>
      </c>
      <c r="G100">
        <f t="shared" si="22"/>
        <v>454.57142857142856</v>
      </c>
      <c r="H100">
        <f t="shared" si="23"/>
        <v>0.16121261599927439</v>
      </c>
      <c r="I100">
        <f t="shared" si="24"/>
        <v>1.0367661649233211E-2</v>
      </c>
      <c r="K100">
        <f t="shared" si="27"/>
        <v>1695979.9844745768</v>
      </c>
      <c r="L100">
        <f t="shared" si="28"/>
        <v>6215.4400246128716</v>
      </c>
      <c r="M100">
        <f t="shared" ref="M100:M163" si="30">M99+(L99/10)</f>
        <v>352565.22061369655</v>
      </c>
      <c r="N100">
        <f t="shared" si="29"/>
        <v>1050272.2067869264</v>
      </c>
    </row>
    <row r="101" spans="1:14" x14ac:dyDescent="0.25">
      <c r="A101" s="1">
        <v>44294</v>
      </c>
      <c r="B101">
        <v>355454</v>
      </c>
      <c r="C101">
        <f t="shared" si="25"/>
        <v>626</v>
      </c>
      <c r="D101">
        <f t="shared" si="26"/>
        <v>5235</v>
      </c>
      <c r="E101">
        <v>1098646</v>
      </c>
      <c r="F101">
        <f t="shared" si="21"/>
        <v>1744937</v>
      </c>
      <c r="G101">
        <f t="shared" si="22"/>
        <v>509.57142857142856</v>
      </c>
      <c r="H101">
        <f t="shared" si="23"/>
        <v>0.17845466067681126</v>
      </c>
      <c r="I101">
        <f t="shared" si="24"/>
        <v>1.4783341748154804E-2</v>
      </c>
      <c r="K101">
        <f t="shared" si="27"/>
        <v>1681319.5749625564</v>
      </c>
      <c r="L101">
        <f t="shared" si="28"/>
        <v>6190.1740311095655</v>
      </c>
      <c r="M101">
        <f t="shared" si="30"/>
        <v>353186.76461615786</v>
      </c>
      <c r="N101">
        <f t="shared" si="29"/>
        <v>1064336.3382899887</v>
      </c>
    </row>
    <row r="102" spans="1:14" x14ac:dyDescent="0.25">
      <c r="A102" s="1">
        <v>44295</v>
      </c>
      <c r="B102">
        <v>356073</v>
      </c>
      <c r="C102">
        <f t="shared" si="25"/>
        <v>619</v>
      </c>
      <c r="D102">
        <f t="shared" si="26"/>
        <v>5317</v>
      </c>
      <c r="E102">
        <v>1124442</v>
      </c>
      <c r="F102">
        <f t="shared" si="21"/>
        <v>1718522</v>
      </c>
      <c r="G102">
        <f t="shared" si="22"/>
        <v>488.42857142857144</v>
      </c>
      <c r="H102">
        <f t="shared" si="23"/>
        <v>0.17100096743286555</v>
      </c>
      <c r="I102">
        <f t="shared" si="24"/>
        <v>1.9118172476116104E-2</v>
      </c>
      <c r="K102">
        <f t="shared" si="27"/>
        <v>1666788.2960690507</v>
      </c>
      <c r="L102">
        <f t="shared" si="28"/>
        <v>6159.8773442789652</v>
      </c>
      <c r="M102">
        <f t="shared" si="30"/>
        <v>353805.78201926884</v>
      </c>
      <c r="N102">
        <f t="shared" si="29"/>
        <v>1078278.896467214</v>
      </c>
    </row>
    <row r="103" spans="1:14" x14ac:dyDescent="0.25">
      <c r="A103" s="1">
        <v>44296</v>
      </c>
      <c r="B103">
        <v>356509</v>
      </c>
      <c r="C103">
        <f t="shared" si="25"/>
        <v>436</v>
      </c>
      <c r="D103">
        <f t="shared" si="26"/>
        <v>5107</v>
      </c>
      <c r="E103">
        <v>1157297</v>
      </c>
      <c r="F103">
        <f t="shared" si="21"/>
        <v>1685231</v>
      </c>
      <c r="G103">
        <f t="shared" si="22"/>
        <v>455.28571428571428</v>
      </c>
      <c r="H103">
        <f t="shared" si="23"/>
        <v>0.16923024739670869</v>
      </c>
      <c r="I103">
        <f t="shared" si="24"/>
        <v>1.824200955239964E-2</v>
      </c>
      <c r="K103">
        <f t="shared" si="27"/>
        <v>1652385.4643379266</v>
      </c>
      <c r="L103">
        <f t="shared" si="28"/>
        <v>6124.6656573742148</v>
      </c>
      <c r="M103">
        <f t="shared" si="30"/>
        <v>354421.76975369675</v>
      </c>
      <c r="N103">
        <f t="shared" si="29"/>
        <v>1092100.9521508149</v>
      </c>
    </row>
    <row r="104" spans="1:14" x14ac:dyDescent="0.25">
      <c r="A104" s="1">
        <v>44297</v>
      </c>
      <c r="B104">
        <v>357019</v>
      </c>
      <c r="C104">
        <f t="shared" si="25"/>
        <v>510</v>
      </c>
      <c r="D104">
        <f t="shared" si="26"/>
        <v>4882</v>
      </c>
      <c r="E104">
        <v>1188039</v>
      </c>
      <c r="F104">
        <f t="shared" si="21"/>
        <v>1653979</v>
      </c>
      <c r="G104">
        <f t="shared" si="22"/>
        <v>465.14285714285717</v>
      </c>
      <c r="H104">
        <f t="shared" si="23"/>
        <v>0.18427985128904645</v>
      </c>
      <c r="I104">
        <f t="shared" si="24"/>
        <v>8.5883799008330819E-3</v>
      </c>
      <c r="K104">
        <f t="shared" si="27"/>
        <v>1638110.37966229</v>
      </c>
      <c r="L104">
        <f t="shared" si="28"/>
        <v>6084.6654127312868</v>
      </c>
      <c r="M104">
        <f t="shared" si="30"/>
        <v>355034.23631943419</v>
      </c>
      <c r="N104">
        <f t="shared" si="29"/>
        <v>1105803.5705053571</v>
      </c>
    </row>
    <row r="105" spans="1:14" x14ac:dyDescent="0.25">
      <c r="A105" s="1">
        <v>44298</v>
      </c>
      <c r="B105">
        <v>357197</v>
      </c>
      <c r="C105">
        <f t="shared" si="25"/>
        <v>178</v>
      </c>
      <c r="D105">
        <f t="shared" si="26"/>
        <v>4483</v>
      </c>
      <c r="E105">
        <v>1202244</v>
      </c>
      <c r="F105">
        <f t="shared" si="21"/>
        <v>1639596</v>
      </c>
      <c r="G105">
        <f t="shared" si="22"/>
        <v>427.71428571428572</v>
      </c>
      <c r="H105">
        <f t="shared" si="23"/>
        <v>0.1861518815060183</v>
      </c>
      <c r="I105">
        <f t="shared" si="24"/>
        <v>3.9857379500803855E-3</v>
      </c>
      <c r="K105">
        <f t="shared" si="27"/>
        <v>1623962.3250201887</v>
      </c>
      <c r="L105">
        <f t="shared" si="28"/>
        <v>6040.0131292371852</v>
      </c>
      <c r="M105">
        <f t="shared" si="30"/>
        <v>355642.7028607073</v>
      </c>
      <c r="N105">
        <f t="shared" si="29"/>
        <v>1119387.8108896795</v>
      </c>
    </row>
    <row r="106" spans="1:14" x14ac:dyDescent="0.25">
      <c r="A106" s="1">
        <v>44299</v>
      </c>
      <c r="B106">
        <v>357739</v>
      </c>
      <c r="C106">
        <f t="shared" si="25"/>
        <v>542</v>
      </c>
      <c r="D106">
        <f t="shared" si="26"/>
        <v>4532</v>
      </c>
      <c r="E106">
        <v>1208779</v>
      </c>
      <c r="F106">
        <f t="shared" si="21"/>
        <v>1632519</v>
      </c>
      <c r="G106">
        <f t="shared" si="22"/>
        <v>448.85714285714283</v>
      </c>
      <c r="H106">
        <f t="shared" si="23"/>
        <v>0.19407931833824768</v>
      </c>
      <c r="I106">
        <f t="shared" si="24"/>
        <v>1.1350557022613519E-2</v>
      </c>
      <c r="K106">
        <f t="shared" si="27"/>
        <v>1609940.5663069163</v>
      </c>
      <c r="L106">
        <f t="shared" si="28"/>
        <v>5990.8547026408814</v>
      </c>
      <c r="M106">
        <f t="shared" si="30"/>
        <v>356246.70417363103</v>
      </c>
      <c r="N106">
        <f t="shared" si="29"/>
        <v>1132854.7267166246</v>
      </c>
    </row>
    <row r="107" spans="1:14" x14ac:dyDescent="0.25">
      <c r="A107" s="1">
        <v>44300</v>
      </c>
      <c r="B107">
        <v>358395</v>
      </c>
      <c r="C107">
        <f t="shared" si="25"/>
        <v>656</v>
      </c>
      <c r="D107">
        <f t="shared" si="26"/>
        <v>5033</v>
      </c>
      <c r="E107">
        <v>1227309</v>
      </c>
      <c r="F107">
        <f t="shared" si="21"/>
        <v>1613333</v>
      </c>
      <c r="G107">
        <f t="shared" si="22"/>
        <v>434.71428571428572</v>
      </c>
      <c r="H107">
        <f t="shared" si="23"/>
        <v>0.17126642322939764</v>
      </c>
      <c r="I107">
        <f t="shared" si="24"/>
        <v>1.0255167408092439E-2</v>
      </c>
      <c r="K107">
        <f t="shared" si="27"/>
        <v>1596044.3522612257</v>
      </c>
      <c r="L107">
        <f t="shared" si="28"/>
        <v>5937.3446833142152</v>
      </c>
      <c r="M107">
        <f t="shared" si="30"/>
        <v>356845.78964389511</v>
      </c>
      <c r="N107">
        <f t="shared" si="29"/>
        <v>1146205.3653113777</v>
      </c>
    </row>
    <row r="108" spans="1:14" x14ac:dyDescent="0.25">
      <c r="A108" s="1">
        <v>44301</v>
      </c>
      <c r="B108">
        <v>358873</v>
      </c>
      <c r="C108">
        <f t="shared" si="25"/>
        <v>478</v>
      </c>
      <c r="D108">
        <f t="shared" si="26"/>
        <v>5044</v>
      </c>
      <c r="E108">
        <v>1243854</v>
      </c>
      <c r="F108">
        <f t="shared" si="21"/>
        <v>1596310</v>
      </c>
      <c r="G108">
        <f t="shared" si="22"/>
        <v>432.14285714285717</v>
      </c>
      <c r="H108">
        <f t="shared" si="23"/>
        <v>0.17169367239865685</v>
      </c>
      <c r="I108">
        <f t="shared" si="24"/>
        <v>9.0934718193834523E-3</v>
      </c>
      <c r="K108">
        <f t="shared" si="27"/>
        <v>1582272.9144823393</v>
      </c>
      <c r="L108">
        <f t="shared" si="28"/>
        <v>5879.6455360529662</v>
      </c>
      <c r="M108">
        <f t="shared" si="30"/>
        <v>357439.52411222656</v>
      </c>
      <c r="N108">
        <f t="shared" si="29"/>
        <v>1159440.767769194</v>
      </c>
    </row>
    <row r="109" spans="1:14" x14ac:dyDescent="0.25">
      <c r="A109" s="1">
        <v>44302</v>
      </c>
      <c r="B109">
        <v>359260</v>
      </c>
      <c r="C109">
        <f t="shared" si="25"/>
        <v>387</v>
      </c>
      <c r="D109">
        <f t="shared" si="26"/>
        <v>4703</v>
      </c>
      <c r="E109">
        <v>1258370</v>
      </c>
      <c r="F109">
        <f t="shared" si="21"/>
        <v>1581407</v>
      </c>
      <c r="G109">
        <f t="shared" si="22"/>
        <v>431.14285714285717</v>
      </c>
      <c r="H109">
        <f t="shared" si="23"/>
        <v>0.18544785867432792</v>
      </c>
      <c r="I109">
        <f t="shared" si="24"/>
        <v>1.0483702171547236E-2</v>
      </c>
      <c r="K109">
        <f t="shared" si="27"/>
        <v>1568625.4675342573</v>
      </c>
      <c r="L109">
        <f t="shared" si="28"/>
        <v>5817.9268864575006</v>
      </c>
      <c r="M109">
        <f t="shared" si="30"/>
        <v>358027.48866583186</v>
      </c>
      <c r="N109">
        <f t="shared" si="29"/>
        <v>1172561.9688132661</v>
      </c>
    </row>
    <row r="110" spans="1:14" x14ac:dyDescent="0.25">
      <c r="A110" s="1">
        <v>44303</v>
      </c>
      <c r="B110">
        <v>359765</v>
      </c>
      <c r="C110">
        <f t="shared" si="25"/>
        <v>505</v>
      </c>
      <c r="D110">
        <f t="shared" si="26"/>
        <v>4937</v>
      </c>
      <c r="E110">
        <v>1274949</v>
      </c>
      <c r="F110">
        <f t="shared" si="21"/>
        <v>1564323</v>
      </c>
      <c r="G110">
        <f t="shared" si="22"/>
        <v>439.14285714285717</v>
      </c>
      <c r="H110">
        <f t="shared" si="23"/>
        <v>0.18190118503102046</v>
      </c>
      <c r="I110">
        <f t="shared" si="24"/>
        <v>8.5525815320748981E-3</v>
      </c>
      <c r="K110">
        <f t="shared" si="27"/>
        <v>1555101.209133527</v>
      </c>
      <c r="L110">
        <f t="shared" si="28"/>
        <v>5752.364758349685</v>
      </c>
      <c r="M110">
        <f t="shared" si="30"/>
        <v>358609.28135447763</v>
      </c>
      <c r="N110">
        <f t="shared" si="29"/>
        <v>1185569.9966534586</v>
      </c>
    </row>
    <row r="111" spans="1:14" x14ac:dyDescent="0.25">
      <c r="A111" s="1">
        <v>44304</v>
      </c>
      <c r="B111">
        <v>360013</v>
      </c>
      <c r="C111">
        <f t="shared" si="25"/>
        <v>248</v>
      </c>
      <c r="D111">
        <f t="shared" si="26"/>
        <v>4559</v>
      </c>
      <c r="E111">
        <v>1288328</v>
      </c>
      <c r="F111">
        <f t="shared" si="21"/>
        <v>1550696</v>
      </c>
      <c r="G111">
        <f t="shared" si="22"/>
        <v>423.85714285714283</v>
      </c>
      <c r="H111">
        <f t="shared" si="23"/>
        <v>0.19179730948018839</v>
      </c>
      <c r="I111">
        <f t="shared" si="24"/>
        <v>7.0033069021910163E-3</v>
      </c>
      <c r="K111">
        <f t="shared" si="27"/>
        <v>1541699.3204163327</v>
      </c>
      <c r="L111">
        <f t="shared" si="28"/>
        <v>5683.1408065703899</v>
      </c>
      <c r="M111">
        <f t="shared" si="30"/>
        <v>359184.5178303126</v>
      </c>
      <c r="N111">
        <f t="shared" si="29"/>
        <v>1198465.8728465971</v>
      </c>
    </row>
    <row r="112" spans="1:14" x14ac:dyDescent="0.25">
      <c r="A112" s="1">
        <v>44305</v>
      </c>
      <c r="B112">
        <v>360339</v>
      </c>
      <c r="C112">
        <f t="shared" si="25"/>
        <v>326</v>
      </c>
      <c r="D112">
        <f t="shared" si="26"/>
        <v>4266</v>
      </c>
      <c r="E112">
        <v>1299188</v>
      </c>
      <c r="F112">
        <f t="shared" si="21"/>
        <v>1539510</v>
      </c>
      <c r="G112">
        <f t="shared" si="22"/>
        <v>415.71428571428572</v>
      </c>
      <c r="H112">
        <f t="shared" si="23"/>
        <v>0.20249338798735045</v>
      </c>
      <c r="I112">
        <f t="shared" si="24"/>
        <v>1.7115835558067177E-3</v>
      </c>
      <c r="K112">
        <f t="shared" si="27"/>
        <v>1528418.9662805065</v>
      </c>
      <c r="L112">
        <f t="shared" si="28"/>
        <v>5610.4415493621855</v>
      </c>
      <c r="M112">
        <f t="shared" si="30"/>
        <v>359752.83191096963</v>
      </c>
      <c r="N112">
        <f t="shared" si="29"/>
        <v>1211250.6121589744</v>
      </c>
    </row>
    <row r="113" spans="1:14" x14ac:dyDescent="0.25">
      <c r="A113" s="1">
        <v>44306</v>
      </c>
      <c r="B113">
        <v>360782</v>
      </c>
      <c r="C113">
        <f t="shared" si="25"/>
        <v>443</v>
      </c>
      <c r="D113">
        <f t="shared" si="26"/>
        <v>4273</v>
      </c>
      <c r="E113">
        <v>1301823</v>
      </c>
      <c r="F113">
        <f t="shared" si="21"/>
        <v>1536432</v>
      </c>
      <c r="G113">
        <f t="shared" si="22"/>
        <v>402.71428571428572</v>
      </c>
      <c r="H113">
        <f t="shared" si="23"/>
        <v>0.19623210488974491</v>
      </c>
      <c r="I113">
        <f t="shared" si="24"/>
        <v>5.1183521301300678E-3</v>
      </c>
      <c r="K113">
        <f t="shared" si="27"/>
        <v>1515259.2957978381</v>
      </c>
      <c r="L113">
        <f t="shared" si="28"/>
        <v>5534.4576043772913</v>
      </c>
      <c r="M113">
        <f t="shared" si="30"/>
        <v>360313.87606590585</v>
      </c>
      <c r="N113">
        <f t="shared" si="29"/>
        <v>1223925.2224316914</v>
      </c>
    </row>
    <row r="114" spans="1:14" x14ac:dyDescent="0.25">
      <c r="A114" s="1">
        <v>44307</v>
      </c>
      <c r="B114">
        <v>361420</v>
      </c>
      <c r="C114">
        <f t="shared" si="25"/>
        <v>638</v>
      </c>
      <c r="D114">
        <f t="shared" si="26"/>
        <v>4401</v>
      </c>
      <c r="E114">
        <v>1309687</v>
      </c>
      <c r="F114">
        <f t="shared" si="21"/>
        <v>1527930</v>
      </c>
      <c r="G114">
        <f t="shared" si="22"/>
        <v>392.57142857142856</v>
      </c>
      <c r="H114">
        <f t="shared" si="23"/>
        <v>0.18675968161061249</v>
      </c>
      <c r="I114">
        <f t="shared" si="24"/>
        <v>7.1567414737586143E-3</v>
      </c>
      <c r="K114">
        <f t="shared" si="27"/>
        <v>1502219.4426918877</v>
      </c>
      <c r="L114">
        <f t="shared" si="28"/>
        <v>5455.3829321640997</v>
      </c>
      <c r="M114">
        <f t="shared" si="30"/>
        <v>360867.3218263436</v>
      </c>
      <c r="N114">
        <f t="shared" si="29"/>
        <v>1236490.7044494173</v>
      </c>
    </row>
    <row r="115" spans="1:14" x14ac:dyDescent="0.25">
      <c r="A115" s="1">
        <v>44308</v>
      </c>
      <c r="B115">
        <v>361891</v>
      </c>
      <c r="C115">
        <f t="shared" si="25"/>
        <v>471</v>
      </c>
      <c r="D115">
        <f t="shared" si="26"/>
        <v>4694</v>
      </c>
      <c r="E115">
        <v>1320622</v>
      </c>
      <c r="F115">
        <f t="shared" si="21"/>
        <v>1516524</v>
      </c>
      <c r="G115">
        <f t="shared" si="22"/>
        <v>373.28571428571428</v>
      </c>
      <c r="H115">
        <f t="shared" si="23"/>
        <v>0.16775221368778731</v>
      </c>
      <c r="I115">
        <f t="shared" si="24"/>
        <v>7.8046901994297483E-3</v>
      </c>
      <c r="K115">
        <f t="shared" si="27"/>
        <v>1489298.5258763598</v>
      </c>
      <c r="L115">
        <f t="shared" si="28"/>
        <v>5373.4140907793289</v>
      </c>
      <c r="M115">
        <f t="shared" si="30"/>
        <v>361412.86011956003</v>
      </c>
      <c r="N115">
        <f t="shared" si="29"/>
        <v>1248948.0518131135</v>
      </c>
    </row>
    <row r="116" spans="1:14" x14ac:dyDescent="0.25">
      <c r="A116" s="1">
        <v>44309</v>
      </c>
      <c r="B116">
        <v>362334</v>
      </c>
      <c r="C116">
        <f t="shared" si="25"/>
        <v>443</v>
      </c>
      <c r="D116">
        <f t="shared" si="26"/>
        <v>4595</v>
      </c>
      <c r="E116">
        <v>1332458</v>
      </c>
      <c r="F116">
        <f t="shared" si="21"/>
        <v>1504245</v>
      </c>
      <c r="G116">
        <f t="shared" si="22"/>
        <v>369.28571428571428</v>
      </c>
      <c r="H116">
        <f t="shared" si="23"/>
        <v>0.17091401570355727</v>
      </c>
      <c r="I116">
        <f t="shared" si="24"/>
        <v>7.9694464664998056E-3</v>
      </c>
      <c r="K116">
        <f t="shared" si="27"/>
        <v>1476495.6500490052</v>
      </c>
      <c r="L116">
        <f t="shared" si="28"/>
        <v>5288.7495049497902</v>
      </c>
      <c r="M116">
        <f t="shared" si="30"/>
        <v>361950.20152863796</v>
      </c>
      <c r="N116">
        <f t="shared" si="29"/>
        <v>1261298.2508172197</v>
      </c>
    </row>
    <row r="117" spans="1:14" x14ac:dyDescent="0.25">
      <c r="A117" s="1">
        <v>44310</v>
      </c>
      <c r="B117">
        <v>362732</v>
      </c>
      <c r="C117">
        <f t="shared" si="25"/>
        <v>398</v>
      </c>
      <c r="D117">
        <f t="shared" si="26"/>
        <v>4337</v>
      </c>
      <c r="E117">
        <v>1344446</v>
      </c>
      <c r="F117">
        <f t="shared" si="21"/>
        <v>1491859</v>
      </c>
      <c r="G117">
        <f t="shared" si="22"/>
        <v>358.14285714285717</v>
      </c>
      <c r="H117">
        <f t="shared" si="23"/>
        <v>0.17707545089207113</v>
      </c>
      <c r="I117">
        <f t="shared" si="24"/>
        <v>7.2225324243108766E-3</v>
      </c>
      <c r="K117">
        <f t="shared" si="27"/>
        <v>1463809.9063359417</v>
      </c>
      <c r="L117">
        <f t="shared" si="28"/>
        <v>5201.5887529706697</v>
      </c>
      <c r="M117">
        <f t="shared" si="30"/>
        <v>362479.07647913293</v>
      </c>
      <c r="N117">
        <f t="shared" si="29"/>
        <v>1273542.2803317674</v>
      </c>
    </row>
    <row r="118" spans="1:14" x14ac:dyDescent="0.25">
      <c r="A118" s="1">
        <v>44311</v>
      </c>
      <c r="B118">
        <v>362923</v>
      </c>
      <c r="C118">
        <f t="shared" si="25"/>
        <v>191</v>
      </c>
      <c r="D118">
        <f t="shared" si="26"/>
        <v>4050</v>
      </c>
      <c r="E118">
        <v>1355221</v>
      </c>
      <c r="F118">
        <f t="shared" si="21"/>
        <v>1480893</v>
      </c>
      <c r="G118">
        <f t="shared" si="22"/>
        <v>356.57142857142856</v>
      </c>
      <c r="H118">
        <f t="shared" si="23"/>
        <v>0.19018974697938673</v>
      </c>
      <c r="I118">
        <f t="shared" si="24"/>
        <v>6.4157234857616314E-3</v>
      </c>
      <c r="K118">
        <f t="shared" si="27"/>
        <v>1451240.3729812696</v>
      </c>
      <c r="L118">
        <f t="shared" si="28"/>
        <v>5112.1318742787644</v>
      </c>
      <c r="M118">
        <f t="shared" si="30"/>
        <v>362999.23535442998</v>
      </c>
      <c r="N118">
        <f t="shared" si="29"/>
        <v>1285681.1116898344</v>
      </c>
    </row>
    <row r="119" spans="1:14" x14ac:dyDescent="0.25">
      <c r="A119" s="1">
        <v>44312</v>
      </c>
      <c r="B119">
        <v>363158</v>
      </c>
      <c r="C119">
        <f t="shared" si="25"/>
        <v>235</v>
      </c>
      <c r="D119">
        <f t="shared" si="26"/>
        <v>3898</v>
      </c>
      <c r="E119">
        <v>1364722</v>
      </c>
      <c r="F119">
        <f t="shared" si="21"/>
        <v>1471157</v>
      </c>
      <c r="G119">
        <f t="shared" si="22"/>
        <v>370.85714285714283</v>
      </c>
      <c r="H119">
        <f t="shared" si="23"/>
        <v>0.20688311845712046</v>
      </c>
      <c r="I119">
        <f t="shared" si="24"/>
        <v>2.1071850251196847E-3</v>
      </c>
      <c r="K119">
        <f t="shared" si="27"/>
        <v>1438786.1160768529</v>
      </c>
      <c r="L119">
        <f t="shared" si="28"/>
        <v>5020.5787003820005</v>
      </c>
      <c r="M119">
        <f t="shared" si="30"/>
        <v>363510.44854185788</v>
      </c>
      <c r="N119">
        <f t="shared" si="29"/>
        <v>1297715.70858072</v>
      </c>
    </row>
    <row r="120" spans="1:14" x14ac:dyDescent="0.25">
      <c r="A120" s="1">
        <v>44313</v>
      </c>
      <c r="B120">
        <v>363530</v>
      </c>
      <c r="C120">
        <f t="shared" si="25"/>
        <v>372</v>
      </c>
      <c r="D120">
        <f t="shared" si="26"/>
        <v>3765</v>
      </c>
      <c r="E120">
        <v>1367822</v>
      </c>
      <c r="F120">
        <f t="shared" si="21"/>
        <v>1467685</v>
      </c>
      <c r="G120">
        <f t="shared" si="22"/>
        <v>370.28571428571428</v>
      </c>
      <c r="H120">
        <f t="shared" si="23"/>
        <v>0.21436722406287412</v>
      </c>
      <c r="I120">
        <f t="shared" si="24"/>
        <v>3.2765886412956459E-3</v>
      </c>
      <c r="K120">
        <f t="shared" si="27"/>
        <v>1426446.1903271833</v>
      </c>
      <c r="L120">
        <f t="shared" si="28"/>
        <v>4927.1282115633467</v>
      </c>
      <c r="M120">
        <f t="shared" si="30"/>
        <v>364012.50641189609</v>
      </c>
      <c r="N120">
        <f t="shared" si="29"/>
        <v>1309647.02694917</v>
      </c>
    </row>
    <row r="121" spans="1:14" x14ac:dyDescent="0.25">
      <c r="A121" s="1">
        <v>44314</v>
      </c>
      <c r="B121">
        <v>364033</v>
      </c>
      <c r="C121">
        <f t="shared" si="25"/>
        <v>503</v>
      </c>
      <c r="D121">
        <f t="shared" si="26"/>
        <v>4020</v>
      </c>
      <c r="E121">
        <v>1372631</v>
      </c>
      <c r="F121">
        <f t="shared" si="21"/>
        <v>1462373</v>
      </c>
      <c r="G121">
        <f t="shared" si="22"/>
        <v>370.85714285714283</v>
      </c>
      <c r="H121">
        <f t="shared" si="23"/>
        <v>0.20180954263863321</v>
      </c>
      <c r="I121">
        <f t="shared" si="24"/>
        <v>7.1144639568701011E-3</v>
      </c>
      <c r="K121">
        <f t="shared" si="27"/>
        <v>1414219.6398443035</v>
      </c>
      <c r="L121">
        <f t="shared" si="28"/>
        <v>4831.977921510429</v>
      </c>
      <c r="M121">
        <f t="shared" si="30"/>
        <v>364505.2192330524</v>
      </c>
      <c r="N121">
        <f t="shared" si="29"/>
        <v>1321476.0149009465</v>
      </c>
    </row>
    <row r="122" spans="1:14" x14ac:dyDescent="0.25">
      <c r="A122" s="1">
        <v>44315</v>
      </c>
      <c r="B122">
        <v>364476</v>
      </c>
      <c r="C122">
        <f t="shared" si="25"/>
        <v>443</v>
      </c>
      <c r="D122">
        <f t="shared" si="26"/>
        <v>4137</v>
      </c>
      <c r="E122">
        <v>1383035</v>
      </c>
      <c r="F122">
        <f t="shared" si="21"/>
        <v>1451526</v>
      </c>
      <c r="G122">
        <f t="shared" si="22"/>
        <v>361.85714285714283</v>
      </c>
      <c r="H122">
        <f t="shared" si="23"/>
        <v>0.19277294077621515</v>
      </c>
      <c r="I122">
        <f t="shared" si="24"/>
        <v>4.6778356019802608E-3</v>
      </c>
      <c r="K122">
        <f t="shared" si="27"/>
        <v>1402105.4989678673</v>
      </c>
      <c r="L122">
        <f t="shared" si="28"/>
        <v>4735.3232917541027</v>
      </c>
      <c r="M122">
        <f t="shared" si="30"/>
        <v>364988.41702520347</v>
      </c>
      <c r="N122">
        <f t="shared" si="29"/>
        <v>1333203.6126149879</v>
      </c>
    </row>
    <row r="123" spans="1:14" x14ac:dyDescent="0.25">
      <c r="A123" s="1">
        <v>44316</v>
      </c>
      <c r="B123">
        <v>364841</v>
      </c>
      <c r="C123">
        <f t="shared" si="25"/>
        <v>365</v>
      </c>
      <c r="D123">
        <f t="shared" si="26"/>
        <v>4059</v>
      </c>
      <c r="E123">
        <v>1389825</v>
      </c>
      <c r="F123">
        <f t="shared" si="21"/>
        <v>1444371</v>
      </c>
      <c r="G123">
        <f t="shared" si="22"/>
        <v>352.85714285714283</v>
      </c>
      <c r="H123">
        <f t="shared" si="23"/>
        <v>0.19253973288872536</v>
      </c>
      <c r="I123">
        <f t="shared" si="24"/>
        <v>5.5975923083473704E-3</v>
      </c>
      <c r="K123">
        <f t="shared" si="27"/>
        <v>1390102.7931055317</v>
      </c>
      <c r="L123">
        <f t="shared" si="28"/>
        <v>4637.3571775321689</v>
      </c>
      <c r="M123">
        <f t="shared" si="30"/>
        <v>365461.94935437886</v>
      </c>
      <c r="N123">
        <f t="shared" si="29"/>
        <v>1344830.75226237</v>
      </c>
    </row>
    <row r="124" spans="1:14" x14ac:dyDescent="0.25">
      <c r="A124" s="1">
        <v>44317</v>
      </c>
      <c r="B124">
        <v>365228</v>
      </c>
      <c r="C124">
        <f t="shared" si="25"/>
        <v>387</v>
      </c>
      <c r="D124">
        <f t="shared" si="26"/>
        <v>3808</v>
      </c>
      <c r="E124">
        <v>1397910</v>
      </c>
      <c r="F124">
        <f t="shared" si="21"/>
        <v>1435899</v>
      </c>
      <c r="G124">
        <f t="shared" si="22"/>
        <v>350.14285714285717</v>
      </c>
      <c r="H124">
        <f t="shared" si="23"/>
        <v>0.20485364772986728</v>
      </c>
      <c r="I124">
        <f t="shared" si="24"/>
        <v>3.9445671318108031E-3</v>
      </c>
      <c r="K124">
        <f>K123-($R$8*K123*L123/$B$1)-($S$8*K123)</f>
        <v>1384508.3590184187</v>
      </c>
      <c r="L124">
        <f>L123+($R$8*K123*L123/$B$1)-(L123/10)</f>
        <v>4518.2684780265708</v>
      </c>
      <c r="M124">
        <f t="shared" si="30"/>
        <v>365925.6850721321</v>
      </c>
      <c r="N124">
        <f>N123+($S$8*K123)</f>
        <v>1350080.5393312355</v>
      </c>
    </row>
    <row r="125" spans="1:14" x14ac:dyDescent="0.25">
      <c r="A125" s="1">
        <v>44318</v>
      </c>
      <c r="B125">
        <v>365519</v>
      </c>
      <c r="C125">
        <f t="shared" si="25"/>
        <v>291</v>
      </c>
      <c r="D125">
        <f t="shared" si="26"/>
        <v>3628</v>
      </c>
      <c r="E125">
        <v>1403574</v>
      </c>
      <c r="F125">
        <f t="shared" si="21"/>
        <v>1429944</v>
      </c>
      <c r="G125">
        <f t="shared" si="22"/>
        <v>333.57142857142856</v>
      </c>
      <c r="H125">
        <f t="shared" si="23"/>
        <v>0.20569408343004283</v>
      </c>
      <c r="I125">
        <f t="shared" si="24"/>
        <v>4.1155457836111065E-3</v>
      </c>
      <c r="K125">
        <f t="shared" ref="K125:K154" si="31">K124-($R$8*K124*L124/$B$1)-($S$8*K124)</f>
        <v>1378945.2546098963</v>
      </c>
      <c r="L125">
        <f t="shared" ref="L125:L154" si="32">L124+($R$8*K124*L124/$B$1)-(L124/10)</f>
        <v>4400.8866072568089</v>
      </c>
      <c r="M125">
        <f t="shared" si="30"/>
        <v>366377.51191993477</v>
      </c>
      <c r="N125">
        <f t="shared" ref="N125:N154" si="33">N124+($S$8*K124)</f>
        <v>1355309.1987627249</v>
      </c>
    </row>
    <row r="126" spans="1:14" x14ac:dyDescent="0.25">
      <c r="A126" s="1">
        <v>44319</v>
      </c>
      <c r="B126">
        <v>365750</v>
      </c>
      <c r="C126">
        <f t="shared" si="25"/>
        <v>231</v>
      </c>
      <c r="D126">
        <f t="shared" si="26"/>
        <v>3416</v>
      </c>
      <c r="E126">
        <v>1409459</v>
      </c>
      <c r="F126">
        <f t="shared" si="21"/>
        <v>1423828</v>
      </c>
      <c r="G126">
        <f t="shared" si="22"/>
        <v>313.71428571428572</v>
      </c>
      <c r="H126">
        <f t="shared" si="23"/>
        <v>0.20633750161178033</v>
      </c>
      <c r="I126">
        <f t="shared" si="24"/>
        <v>1.5718190680334984E-3</v>
      </c>
      <c r="K126">
        <f t="shared" si="31"/>
        <v>1373413.1571222118</v>
      </c>
      <c r="L126">
        <f t="shared" si="32"/>
        <v>4285.2453221315163</v>
      </c>
      <c r="M126">
        <f t="shared" si="30"/>
        <v>366817.60058066045</v>
      </c>
      <c r="N126">
        <f t="shared" si="33"/>
        <v>1360516.848874809</v>
      </c>
    </row>
    <row r="127" spans="1:14" x14ac:dyDescent="0.25">
      <c r="A127" s="1">
        <v>44320</v>
      </c>
      <c r="B127">
        <v>366126</v>
      </c>
      <c r="C127">
        <f t="shared" si="25"/>
        <v>376</v>
      </c>
      <c r="D127">
        <f t="shared" si="26"/>
        <v>3394</v>
      </c>
      <c r="E127">
        <v>1411697</v>
      </c>
      <c r="F127">
        <f t="shared" si="21"/>
        <v>1421214</v>
      </c>
      <c r="G127">
        <f t="shared" si="22"/>
        <v>308.42857142857144</v>
      </c>
      <c r="H127">
        <f t="shared" si="23"/>
        <v>0.20455144440229009</v>
      </c>
      <c r="I127">
        <f t="shared" si="24"/>
        <v>2.3669904743409509E-3</v>
      </c>
      <c r="K127">
        <f t="shared" si="31"/>
        <v>1367911.7447245745</v>
      </c>
      <c r="L127">
        <f t="shared" si="32"/>
        <v>4171.3752958157911</v>
      </c>
      <c r="M127">
        <f t="shared" si="30"/>
        <v>367246.12511287362</v>
      </c>
      <c r="N127">
        <f t="shared" si="33"/>
        <v>1365703.6067665489</v>
      </c>
    </row>
    <row r="128" spans="1:14" x14ac:dyDescent="0.25">
      <c r="A128" s="1">
        <v>44321</v>
      </c>
      <c r="B128">
        <v>366566</v>
      </c>
      <c r="C128">
        <f t="shared" si="25"/>
        <v>440</v>
      </c>
      <c r="D128">
        <f t="shared" si="26"/>
        <v>3643</v>
      </c>
      <c r="E128">
        <v>1415061</v>
      </c>
      <c r="F128">
        <f t="shared" si="21"/>
        <v>1417410</v>
      </c>
      <c r="G128">
        <f t="shared" si="22"/>
        <v>294.85714285714283</v>
      </c>
      <c r="H128">
        <f t="shared" si="23"/>
        <v>0.18267379550288604</v>
      </c>
      <c r="I128">
        <f t="shared" si="24"/>
        <v>4.7861945379248068E-3</v>
      </c>
      <c r="K128">
        <f t="shared" si="31"/>
        <v>1362440.6967496674</v>
      </c>
      <c r="L128">
        <f t="shared" si="32"/>
        <v>4059.3041860929829</v>
      </c>
      <c r="M128">
        <f t="shared" si="30"/>
        <v>367663.26264245517</v>
      </c>
      <c r="N128">
        <f t="shared" si="33"/>
        <v>1370869.5883215973</v>
      </c>
    </row>
    <row r="129" spans="1:14" x14ac:dyDescent="0.25">
      <c r="A129" s="1">
        <v>44322</v>
      </c>
      <c r="B129">
        <v>366946</v>
      </c>
      <c r="C129">
        <f t="shared" si="25"/>
        <v>380</v>
      </c>
      <c r="D129">
        <f t="shared" si="26"/>
        <v>3788</v>
      </c>
      <c r="E129">
        <v>1421845</v>
      </c>
      <c r="F129">
        <f t="shared" si="21"/>
        <v>1410246</v>
      </c>
      <c r="G129">
        <f t="shared" si="22"/>
        <v>285.85714285714283</v>
      </c>
      <c r="H129">
        <f t="shared" si="23"/>
        <v>0.17118411615965506</v>
      </c>
      <c r="I129">
        <f t="shared" si="24"/>
        <v>4.3439229751405075E-3</v>
      </c>
      <c r="K129">
        <f t="shared" si="31"/>
        <v>1356999.6939194999</v>
      </c>
      <c r="L129">
        <f t="shared" si="32"/>
        <v>3949.0567066568169</v>
      </c>
      <c r="M129">
        <f t="shared" si="30"/>
        <v>368069.19306106446</v>
      </c>
      <c r="N129">
        <f t="shared" si="33"/>
        <v>1376014.9082125917</v>
      </c>
    </row>
    <row r="130" spans="1:14" x14ac:dyDescent="0.25">
      <c r="A130" s="1">
        <v>44323</v>
      </c>
      <c r="B130">
        <v>367292</v>
      </c>
      <c r="C130">
        <f t="shared" si="25"/>
        <v>346</v>
      </c>
      <c r="D130">
        <f t="shared" si="26"/>
        <v>3762</v>
      </c>
      <c r="E130">
        <v>1427971</v>
      </c>
      <c r="F130">
        <f t="shared" si="21"/>
        <v>1403774</v>
      </c>
      <c r="G130">
        <f t="shared" si="22"/>
        <v>268.14285714285717</v>
      </c>
      <c r="H130">
        <f t="shared" si="23"/>
        <v>0.16243122147009587</v>
      </c>
      <c r="I130">
        <f t="shared" si="24"/>
        <v>3.9636009785050871E-3</v>
      </c>
      <c r="K130">
        <f t="shared" si="31"/>
        <v>1351588.4185606425</v>
      </c>
      <c r="L130">
        <f t="shared" si="32"/>
        <v>3840.6547010388854</v>
      </c>
      <c r="M130">
        <f t="shared" si="30"/>
        <v>368464.09873173013</v>
      </c>
      <c r="N130">
        <f t="shared" si="33"/>
        <v>1381139.6799064013</v>
      </c>
    </row>
    <row r="131" spans="1:14" x14ac:dyDescent="0.25">
      <c r="A131" s="1">
        <v>44324</v>
      </c>
      <c r="B131">
        <v>367563</v>
      </c>
      <c r="C131">
        <f t="shared" si="25"/>
        <v>271</v>
      </c>
      <c r="D131">
        <f t="shared" si="26"/>
        <v>3530</v>
      </c>
      <c r="E131">
        <v>1433535</v>
      </c>
      <c r="F131">
        <f t="shared" si="21"/>
        <v>1397939</v>
      </c>
      <c r="G131">
        <f t="shared" si="22"/>
        <v>251.85714285714286</v>
      </c>
      <c r="H131">
        <f t="shared" si="23"/>
        <v>0.16327158506176306</v>
      </c>
      <c r="I131">
        <f t="shared" si="24"/>
        <v>4.6411181031504236E-3</v>
      </c>
      <c r="K131">
        <f t="shared" si="31"/>
        <v>1346206.5548089072</v>
      </c>
      <c r="L131">
        <f t="shared" si="32"/>
        <v>3734.1172188839346</v>
      </c>
      <c r="M131">
        <f t="shared" si="30"/>
        <v>368848.16420183401</v>
      </c>
      <c r="N131">
        <f t="shared" si="33"/>
        <v>1386244.0156701878</v>
      </c>
    </row>
    <row r="132" spans="1:14" x14ac:dyDescent="0.25">
      <c r="A132" s="1">
        <v>44325</v>
      </c>
      <c r="B132">
        <v>367715</v>
      </c>
      <c r="C132">
        <f t="shared" si="25"/>
        <v>152</v>
      </c>
      <c r="D132">
        <f t="shared" si="26"/>
        <v>3239</v>
      </c>
      <c r="E132">
        <v>1440023</v>
      </c>
      <c r="F132">
        <f t="shared" si="21"/>
        <v>1391299</v>
      </c>
      <c r="G132">
        <f t="shared" si="22"/>
        <v>238.14285714285714</v>
      </c>
      <c r="H132">
        <f t="shared" si="23"/>
        <v>0.16905398087922824</v>
      </c>
      <c r="I132">
        <f t="shared" si="24"/>
        <v>3.3989818148363509E-3</v>
      </c>
      <c r="K132">
        <f t="shared" si="31"/>
        <v>1340853.7888035607</v>
      </c>
      <c r="L132">
        <f t="shared" si="32"/>
        <v>3629.460594293213</v>
      </c>
      <c r="M132">
        <f t="shared" si="30"/>
        <v>369221.57592372241</v>
      </c>
      <c r="N132">
        <f t="shared" si="33"/>
        <v>1391328.0265782366</v>
      </c>
    </row>
    <row r="133" spans="1:14" x14ac:dyDescent="0.25">
      <c r="A133" s="1">
        <v>44326</v>
      </c>
      <c r="B133">
        <v>367909</v>
      </c>
      <c r="C133">
        <f t="shared" si="25"/>
        <v>194</v>
      </c>
      <c r="D133">
        <f t="shared" si="26"/>
        <v>3068</v>
      </c>
      <c r="E133">
        <v>1444752</v>
      </c>
      <c r="F133">
        <f t="shared" ref="F133:F196" si="34">$B$1-(B133+E133)</f>
        <v>1386376</v>
      </c>
      <c r="G133">
        <f t="shared" ref="G133:G196" si="35">AVERAGE(C133:C139)</f>
        <v>236.14285714285714</v>
      </c>
      <c r="H133">
        <f t="shared" ref="H133:H196" si="36">(G133*$B$1)/(F133*D133)</f>
        <v>0.17760602313430901</v>
      </c>
      <c r="I133">
        <f t="shared" ref="I133:I196" si="37">(E134-E133)/F133</f>
        <v>1.6315920067860379E-3</v>
      </c>
      <c r="K133">
        <f t="shared" si="31"/>
        <v>1335529.8088711724</v>
      </c>
      <c r="L133">
        <f t="shared" si="32"/>
        <v>3526.6985259645007</v>
      </c>
      <c r="M133">
        <f t="shared" si="30"/>
        <v>369584.52198315173</v>
      </c>
      <c r="N133">
        <f t="shared" si="33"/>
        <v>1396391.8225195243</v>
      </c>
    </row>
    <row r="134" spans="1:14" x14ac:dyDescent="0.25">
      <c r="A134" s="1">
        <v>44327</v>
      </c>
      <c r="B134">
        <v>368190</v>
      </c>
      <c r="C134">
        <f t="shared" ref="C134:C197" si="38">B134-B133</f>
        <v>281</v>
      </c>
      <c r="D134">
        <f t="shared" si="26"/>
        <v>2962</v>
      </c>
      <c r="E134">
        <v>1447014</v>
      </c>
      <c r="F134">
        <f t="shared" si="34"/>
        <v>1383833</v>
      </c>
      <c r="G134">
        <f t="shared" si="35"/>
        <v>225.71428571428572</v>
      </c>
      <c r="H134">
        <f t="shared" si="36"/>
        <v>0.17616092131667413</v>
      </c>
      <c r="I134">
        <f t="shared" si="37"/>
        <v>1.6606050007479227E-3</v>
      </c>
      <c r="K134">
        <f t="shared" si="31"/>
        <v>1330234.3056992209</v>
      </c>
      <c r="L134">
        <f t="shared" si="32"/>
        <v>3425.8421588661299</v>
      </c>
      <c r="M134">
        <f t="shared" si="30"/>
        <v>369937.19183574821</v>
      </c>
      <c r="N134">
        <f t="shared" si="33"/>
        <v>1401435.5122059777</v>
      </c>
    </row>
    <row r="135" spans="1:14" x14ac:dyDescent="0.25">
      <c r="A135" s="1">
        <v>44328</v>
      </c>
      <c r="B135">
        <v>368567</v>
      </c>
      <c r="C135">
        <f t="shared" si="38"/>
        <v>377</v>
      </c>
      <c r="D135">
        <f t="shared" si="26"/>
        <v>3048</v>
      </c>
      <c r="E135">
        <v>1449312</v>
      </c>
      <c r="F135">
        <f t="shared" si="34"/>
        <v>1381158</v>
      </c>
      <c r="G135">
        <f t="shared" si="35"/>
        <v>214.28571428571428</v>
      </c>
      <c r="H135">
        <f t="shared" si="36"/>
        <v>0.16283739879180725</v>
      </c>
      <c r="I135">
        <f t="shared" si="37"/>
        <v>2.6340215963705817E-3</v>
      </c>
      <c r="K135">
        <f t="shared" si="31"/>
        <v>1324966.9724995957</v>
      </c>
      <c r="L135">
        <f t="shared" si="32"/>
        <v>3326.9001671913848</v>
      </c>
      <c r="M135">
        <f t="shared" si="30"/>
        <v>370279.77605163481</v>
      </c>
      <c r="N135">
        <f t="shared" si="33"/>
        <v>1406459.2031813909</v>
      </c>
    </row>
    <row r="136" spans="1:14" x14ac:dyDescent="0.25">
      <c r="A136" s="1">
        <v>44329</v>
      </c>
      <c r="B136">
        <v>368823</v>
      </c>
      <c r="C136">
        <f t="shared" si="38"/>
        <v>256</v>
      </c>
      <c r="D136">
        <f t="shared" si="26"/>
        <v>3073</v>
      </c>
      <c r="E136">
        <v>1452950</v>
      </c>
      <c r="F136">
        <f t="shared" si="34"/>
        <v>1377264</v>
      </c>
      <c r="G136">
        <f t="shared" si="35"/>
        <v>202.85714285714286</v>
      </c>
      <c r="H136">
        <f t="shared" si="36"/>
        <v>0.15333094473880329</v>
      </c>
      <c r="I136">
        <f t="shared" si="37"/>
        <v>2.8651006633441372E-3</v>
      </c>
      <c r="K136">
        <f t="shared" si="31"/>
        <v>1319727.5051621508</v>
      </c>
      <c r="L136">
        <f t="shared" si="32"/>
        <v>3229.8788383489969</v>
      </c>
      <c r="M136">
        <f t="shared" si="30"/>
        <v>370612.46606835397</v>
      </c>
      <c r="N136">
        <f t="shared" si="33"/>
        <v>1411463.001830959</v>
      </c>
    </row>
    <row r="137" spans="1:14" x14ac:dyDescent="0.25">
      <c r="A137" s="1">
        <v>44330</v>
      </c>
      <c r="B137">
        <v>369055</v>
      </c>
      <c r="C137">
        <f t="shared" si="38"/>
        <v>232</v>
      </c>
      <c r="D137">
        <f t="shared" si="26"/>
        <v>2929</v>
      </c>
      <c r="E137">
        <v>1456896</v>
      </c>
      <c r="F137">
        <f t="shared" si="34"/>
        <v>1373086</v>
      </c>
      <c r="G137">
        <f t="shared" si="35"/>
        <v>196</v>
      </c>
      <c r="H137">
        <f t="shared" si="36"/>
        <v>0.15590434670063366</v>
      </c>
      <c r="I137">
        <f t="shared" si="37"/>
        <v>2.9291683113803505E-3</v>
      </c>
      <c r="K137">
        <f t="shared" si="31"/>
        <v>1314515.6023984782</v>
      </c>
      <c r="L137">
        <f t="shared" si="32"/>
        <v>3134.7821577550362</v>
      </c>
      <c r="M137">
        <f t="shared" si="30"/>
        <v>370935.45395218889</v>
      </c>
      <c r="N137">
        <f t="shared" si="33"/>
        <v>1416447.0133913907</v>
      </c>
    </row>
    <row r="138" spans="1:14" x14ac:dyDescent="0.25">
      <c r="A138" s="1">
        <v>44331</v>
      </c>
      <c r="B138">
        <v>369230</v>
      </c>
      <c r="C138">
        <f t="shared" si="38"/>
        <v>175</v>
      </c>
      <c r="D138">
        <f t="shared" si="26"/>
        <v>2664</v>
      </c>
      <c r="E138">
        <v>1460918</v>
      </c>
      <c r="F138">
        <f t="shared" si="34"/>
        <v>1368889</v>
      </c>
      <c r="G138">
        <f t="shared" si="35"/>
        <v>186.85714285714286</v>
      </c>
      <c r="H138">
        <f t="shared" si="36"/>
        <v>0.16391794960802383</v>
      </c>
      <c r="I138">
        <f t="shared" si="37"/>
        <v>5.6206164268980171E-3</v>
      </c>
      <c r="K138">
        <f t="shared" si="31"/>
        <v>1309330.9658760817</v>
      </c>
      <c r="L138">
        <f t="shared" si="32"/>
        <v>3041.6118942012558</v>
      </c>
      <c r="M138">
        <f t="shared" si="30"/>
        <v>371248.93216796441</v>
      </c>
      <c r="N138">
        <f t="shared" si="33"/>
        <v>1421411.3419615654</v>
      </c>
    </row>
    <row r="139" spans="1:14" x14ac:dyDescent="0.25">
      <c r="A139" s="1">
        <v>44332</v>
      </c>
      <c r="B139">
        <v>369368</v>
      </c>
      <c r="C139">
        <f t="shared" si="38"/>
        <v>138</v>
      </c>
      <c r="D139">
        <f t="shared" si="26"/>
        <v>2422</v>
      </c>
      <c r="E139">
        <v>1468612</v>
      </c>
      <c r="F139">
        <f t="shared" si="34"/>
        <v>1361057</v>
      </c>
      <c r="G139">
        <f t="shared" si="35"/>
        <v>183.85714285714286</v>
      </c>
      <c r="H139">
        <f t="shared" si="36"/>
        <v>0.17842237570968955</v>
      </c>
      <c r="I139">
        <f t="shared" si="37"/>
        <v>4.6500624147262021E-3</v>
      </c>
      <c r="K139">
        <f t="shared" si="31"/>
        <v>1304173.3003431472</v>
      </c>
      <c r="L139">
        <f t="shared" si="32"/>
        <v>2950.3676855848516</v>
      </c>
      <c r="M139">
        <f t="shared" si="30"/>
        <v>371553.09335738455</v>
      </c>
      <c r="N139">
        <f t="shared" si="33"/>
        <v>1426356.0905136962</v>
      </c>
    </row>
    <row r="140" spans="1:14" x14ac:dyDescent="0.25">
      <c r="A140" s="1">
        <v>44333</v>
      </c>
      <c r="B140">
        <v>369489</v>
      </c>
      <c r="C140">
        <f t="shared" si="38"/>
        <v>121</v>
      </c>
      <c r="D140">
        <f t="shared" si="26"/>
        <v>2197</v>
      </c>
      <c r="E140">
        <v>1474941</v>
      </c>
      <c r="F140">
        <f t="shared" si="34"/>
        <v>1354607</v>
      </c>
      <c r="G140">
        <f t="shared" si="35"/>
        <v>179.57142857142858</v>
      </c>
      <c r="H140">
        <f t="shared" si="36"/>
        <v>0.19302480766806085</v>
      </c>
      <c r="I140">
        <f t="shared" si="37"/>
        <v>3.3338082558262284E-3</v>
      </c>
      <c r="K140">
        <f t="shared" si="31"/>
        <v>1299042.3137441112</v>
      </c>
      <c r="L140">
        <f t="shared" si="32"/>
        <v>2861.0471247946007</v>
      </c>
      <c r="M140">
        <f t="shared" si="30"/>
        <v>371848.13012594305</v>
      </c>
      <c r="N140">
        <f t="shared" si="33"/>
        <v>1431281.3609049639</v>
      </c>
    </row>
    <row r="141" spans="1:14" x14ac:dyDescent="0.25">
      <c r="A141" s="1">
        <v>44334</v>
      </c>
      <c r="B141">
        <v>369690</v>
      </c>
      <c r="C141">
        <f t="shared" si="38"/>
        <v>201</v>
      </c>
      <c r="D141">
        <f t="shared" si="26"/>
        <v>2127</v>
      </c>
      <c r="E141">
        <v>1479457</v>
      </c>
      <c r="F141">
        <f t="shared" si="34"/>
        <v>1349890</v>
      </c>
      <c r="G141">
        <f t="shared" si="35"/>
        <v>176</v>
      </c>
      <c r="H141">
        <f t="shared" si="36"/>
        <v>0.19609479263042426</v>
      </c>
      <c r="I141">
        <f t="shared" si="37"/>
        <v>3.3728674188267193E-3</v>
      </c>
      <c r="K141">
        <f t="shared" si="31"/>
        <v>1293937.7173262436</v>
      </c>
      <c r="L141">
        <f t="shared" si="32"/>
        <v>2773.6458455583956</v>
      </c>
      <c r="M141">
        <f t="shared" si="30"/>
        <v>372134.2348384225</v>
      </c>
      <c r="N141">
        <f t="shared" si="33"/>
        <v>1436187.2538895882</v>
      </c>
    </row>
    <row r="142" spans="1:14" x14ac:dyDescent="0.25">
      <c r="A142" s="1">
        <v>44335</v>
      </c>
      <c r="B142">
        <v>369987</v>
      </c>
      <c r="C142">
        <f t="shared" si="38"/>
        <v>297</v>
      </c>
      <c r="D142">
        <f t="shared" ref="D142:D205" si="39">SUM(C133:C142)</f>
        <v>2272</v>
      </c>
      <c r="E142">
        <v>1484010</v>
      </c>
      <c r="F142">
        <f t="shared" si="34"/>
        <v>1345040</v>
      </c>
      <c r="G142">
        <f t="shared" si="35"/>
        <v>169.28571428571428</v>
      </c>
      <c r="H142">
        <f t="shared" si="36"/>
        <v>0.17721319127853721</v>
      </c>
      <c r="I142">
        <f t="shared" si="37"/>
        <v>6.1351335276274314E-3</v>
      </c>
      <c r="K142">
        <f t="shared" si="31"/>
        <v>1288859.2257374662</v>
      </c>
      <c r="L142">
        <f t="shared" si="32"/>
        <v>2688.1576080672694</v>
      </c>
      <c r="M142">
        <f t="shared" si="30"/>
        <v>372411.59942297835</v>
      </c>
      <c r="N142">
        <f t="shared" si="33"/>
        <v>1441073.8691313008</v>
      </c>
    </row>
    <row r="143" spans="1:14" x14ac:dyDescent="0.25">
      <c r="A143" s="1">
        <v>44336</v>
      </c>
      <c r="B143">
        <v>370195</v>
      </c>
      <c r="C143">
        <f t="shared" si="38"/>
        <v>208</v>
      </c>
      <c r="D143">
        <f t="shared" si="39"/>
        <v>2286</v>
      </c>
      <c r="E143">
        <v>1492262</v>
      </c>
      <c r="F143">
        <f t="shared" si="34"/>
        <v>1336580</v>
      </c>
      <c r="G143">
        <f t="shared" si="35"/>
        <v>149.85714285714286</v>
      </c>
      <c r="H143">
        <f t="shared" si="36"/>
        <v>0.15690093333830735</v>
      </c>
      <c r="I143">
        <f t="shared" si="37"/>
        <v>7.7159616334226159E-3</v>
      </c>
      <c r="K143">
        <f t="shared" si="31"/>
        <v>1283806.5571156382</v>
      </c>
      <c r="L143">
        <f t="shared" si="32"/>
        <v>2604.574384201062</v>
      </c>
      <c r="M143">
        <f t="shared" si="30"/>
        <v>372680.41518378508</v>
      </c>
      <c r="N143">
        <f t="shared" si="33"/>
        <v>1445941.3052161883</v>
      </c>
    </row>
    <row r="144" spans="1:14" x14ac:dyDescent="0.25">
      <c r="A144" s="1">
        <v>44337</v>
      </c>
      <c r="B144">
        <v>370363</v>
      </c>
      <c r="C144">
        <f t="shared" si="38"/>
        <v>168</v>
      </c>
      <c r="D144">
        <f t="shared" si="39"/>
        <v>2173</v>
      </c>
      <c r="E144">
        <v>1502575</v>
      </c>
      <c r="F144">
        <f t="shared" si="34"/>
        <v>1326099</v>
      </c>
      <c r="G144">
        <f t="shared" si="35"/>
        <v>134.71428571428572</v>
      </c>
      <c r="H144">
        <f t="shared" si="36"/>
        <v>0.14955372752526036</v>
      </c>
      <c r="I144">
        <f t="shared" si="37"/>
        <v>7.1472793509383542E-3</v>
      </c>
      <c r="K144">
        <f t="shared" si="31"/>
        <v>1278779.4331695449</v>
      </c>
      <c r="L144">
        <f t="shared" si="32"/>
        <v>2522.8864421908893</v>
      </c>
      <c r="M144">
        <f t="shared" si="30"/>
        <v>372940.87262220518</v>
      </c>
      <c r="N144">
        <f t="shared" si="33"/>
        <v>1450789.6596658716</v>
      </c>
    </row>
    <row r="145" spans="1:14" x14ac:dyDescent="0.25">
      <c r="A145" s="1">
        <v>44338</v>
      </c>
      <c r="B145">
        <v>370517</v>
      </c>
      <c r="C145">
        <f t="shared" si="38"/>
        <v>154</v>
      </c>
      <c r="D145">
        <f t="shared" si="39"/>
        <v>1950</v>
      </c>
      <c r="E145">
        <v>1512053</v>
      </c>
      <c r="F145">
        <f t="shared" si="34"/>
        <v>1316467</v>
      </c>
      <c r="G145">
        <f t="shared" si="35"/>
        <v>127.57142857142857</v>
      </c>
      <c r="H145">
        <f t="shared" si="36"/>
        <v>0.15897472909586391</v>
      </c>
      <c r="I145">
        <f t="shared" si="37"/>
        <v>5.645413063905134E-3</v>
      </c>
      <c r="K145">
        <f t="shared" si="31"/>
        <v>1273777.5792518323</v>
      </c>
      <c r="L145">
        <f t="shared" si="32"/>
        <v>2443.0824305635001</v>
      </c>
      <c r="M145">
        <f t="shared" si="30"/>
        <v>373193.16126642429</v>
      </c>
      <c r="N145">
        <f t="shared" si="33"/>
        <v>1455619.0289509925</v>
      </c>
    </row>
    <row r="146" spans="1:14" x14ac:dyDescent="0.25">
      <c r="A146" s="1">
        <v>44339</v>
      </c>
      <c r="B146">
        <v>370625</v>
      </c>
      <c r="C146">
        <f t="shared" si="38"/>
        <v>108</v>
      </c>
      <c r="D146">
        <f t="shared" si="39"/>
        <v>1802</v>
      </c>
      <c r="E146">
        <v>1519485</v>
      </c>
      <c r="F146">
        <f t="shared" si="34"/>
        <v>1308927</v>
      </c>
      <c r="G146">
        <f t="shared" si="35"/>
        <v>116.28571428571429</v>
      </c>
      <c r="H146">
        <f t="shared" si="36"/>
        <v>0.15771587696218167</v>
      </c>
      <c r="I146">
        <f t="shared" si="37"/>
        <v>4.1950391427482206E-3</v>
      </c>
      <c r="K146">
        <f t="shared" si="31"/>
        <v>1268800.7244241354</v>
      </c>
      <c r="L146">
        <f t="shared" si="32"/>
        <v>2365.1494612224328</v>
      </c>
      <c r="M146">
        <f t="shared" si="30"/>
        <v>373437.46950948064</v>
      </c>
      <c r="N146">
        <f t="shared" si="33"/>
        <v>1460429.5085049742</v>
      </c>
    </row>
    <row r="147" spans="1:14" x14ac:dyDescent="0.25">
      <c r="A147" s="1">
        <v>44340</v>
      </c>
      <c r="B147">
        <v>370721</v>
      </c>
      <c r="C147">
        <f t="shared" si="38"/>
        <v>96</v>
      </c>
      <c r="D147">
        <f t="shared" si="39"/>
        <v>1666</v>
      </c>
      <c r="E147">
        <v>1524976</v>
      </c>
      <c r="F147">
        <f t="shared" si="34"/>
        <v>1303340</v>
      </c>
      <c r="G147">
        <f t="shared" si="35"/>
        <v>108.42857142857143</v>
      </c>
      <c r="H147">
        <f t="shared" si="36"/>
        <v>0.15974610501456996</v>
      </c>
      <c r="I147">
        <f t="shared" si="37"/>
        <v>2.4644375220587108E-3</v>
      </c>
      <c r="K147">
        <f t="shared" si="31"/>
        <v>1263848.6015146503</v>
      </c>
      <c r="L147">
        <f t="shared" si="32"/>
        <v>2289.0731915305569</v>
      </c>
      <c r="M147">
        <f t="shared" si="30"/>
        <v>373673.98445560288</v>
      </c>
      <c r="N147">
        <f t="shared" si="33"/>
        <v>1465221.1927380289</v>
      </c>
    </row>
    <row r="148" spans="1:14" x14ac:dyDescent="0.25">
      <c r="A148" s="1">
        <v>44341</v>
      </c>
      <c r="B148">
        <v>370875</v>
      </c>
      <c r="C148">
        <f t="shared" si="38"/>
        <v>154</v>
      </c>
      <c r="D148">
        <f t="shared" si="39"/>
        <v>1645</v>
      </c>
      <c r="E148">
        <v>1528188</v>
      </c>
      <c r="F148">
        <f t="shared" si="34"/>
        <v>1299974</v>
      </c>
      <c r="G148">
        <f t="shared" si="35"/>
        <v>100.42857142857143</v>
      </c>
      <c r="H148">
        <f t="shared" si="36"/>
        <v>0.15023668060788986</v>
      </c>
      <c r="I148">
        <f t="shared" si="37"/>
        <v>3.0062139704332548E-3</v>
      </c>
      <c r="K148">
        <f t="shared" si="31"/>
        <v>1258920.9471684066</v>
      </c>
      <c r="L148">
        <f t="shared" si="32"/>
        <v>2214.8379052681175</v>
      </c>
      <c r="M148">
        <f t="shared" si="30"/>
        <v>373902.89177475596</v>
      </c>
      <c r="N148">
        <f t="shared" si="33"/>
        <v>1469994.175051382</v>
      </c>
    </row>
    <row r="149" spans="1:14" x14ac:dyDescent="0.25">
      <c r="A149" s="1">
        <v>44342</v>
      </c>
      <c r="B149">
        <v>371036</v>
      </c>
      <c r="C149">
        <f t="shared" si="38"/>
        <v>161</v>
      </c>
      <c r="D149">
        <f t="shared" si="39"/>
        <v>1668</v>
      </c>
      <c r="E149">
        <v>1532096</v>
      </c>
      <c r="F149">
        <f t="shared" si="34"/>
        <v>1295905</v>
      </c>
      <c r="G149">
        <f t="shared" si="35"/>
        <v>85.428571428571431</v>
      </c>
      <c r="H149">
        <f t="shared" si="36"/>
        <v>0.12643089005461414</v>
      </c>
      <c r="I149">
        <f t="shared" si="37"/>
        <v>4.19706691462723E-3</v>
      </c>
      <c r="K149">
        <f t="shared" si="31"/>
        <v>1254017.5018904933</v>
      </c>
      <c r="L149">
        <f t="shared" si="32"/>
        <v>2142.4265923497542</v>
      </c>
      <c r="M149">
        <f t="shared" si="30"/>
        <v>374124.37556528277</v>
      </c>
      <c r="N149">
        <f t="shared" si="33"/>
        <v>1474748.5478516868</v>
      </c>
    </row>
    <row r="150" spans="1:14" x14ac:dyDescent="0.25">
      <c r="A150" s="1">
        <v>44343</v>
      </c>
      <c r="B150">
        <v>371138</v>
      </c>
      <c r="C150">
        <f t="shared" si="38"/>
        <v>102</v>
      </c>
      <c r="D150">
        <f t="shared" si="39"/>
        <v>1649</v>
      </c>
      <c r="E150">
        <v>1537535</v>
      </c>
      <c r="F150">
        <f t="shared" si="34"/>
        <v>1290364</v>
      </c>
      <c r="G150">
        <f t="shared" si="35"/>
        <v>85.571428571428569</v>
      </c>
      <c r="H150">
        <f t="shared" si="36"/>
        <v>0.1286515881498265</v>
      </c>
      <c r="I150">
        <f t="shared" si="37"/>
        <v>4.0895437256464068E-3</v>
      </c>
      <c r="K150">
        <f t="shared" si="31"/>
        <v>1249138.0100824996</v>
      </c>
      <c r="L150">
        <f t="shared" si="32"/>
        <v>2071.8210271930975</v>
      </c>
      <c r="M150">
        <f t="shared" si="30"/>
        <v>374338.61822451773</v>
      </c>
      <c r="N150">
        <f t="shared" si="33"/>
        <v>1479484.4025656022</v>
      </c>
    </row>
    <row r="151" spans="1:14" x14ac:dyDescent="0.25">
      <c r="A151" s="1">
        <v>44344</v>
      </c>
      <c r="B151">
        <v>371256</v>
      </c>
      <c r="C151">
        <f t="shared" si="38"/>
        <v>118</v>
      </c>
      <c r="D151">
        <f t="shared" si="39"/>
        <v>1566</v>
      </c>
      <c r="E151">
        <v>1542812</v>
      </c>
      <c r="F151">
        <f t="shared" si="34"/>
        <v>1284969</v>
      </c>
      <c r="G151">
        <f t="shared" si="35"/>
        <v>89</v>
      </c>
      <c r="H151">
        <f t="shared" si="36"/>
        <v>0.14148971170423263</v>
      </c>
      <c r="I151">
        <f t="shared" si="37"/>
        <v>3.6319942348803746E-3</v>
      </c>
      <c r="K151">
        <f t="shared" si="31"/>
        <v>1244282.2200724271</v>
      </c>
      <c r="L151">
        <f t="shared" si="32"/>
        <v>2003.0018456404935</v>
      </c>
      <c r="M151">
        <f t="shared" si="30"/>
        <v>374545.80032723706</v>
      </c>
      <c r="N151">
        <f t="shared" si="33"/>
        <v>1484201.829654508</v>
      </c>
    </row>
    <row r="152" spans="1:14" x14ac:dyDescent="0.25">
      <c r="A152" s="1">
        <v>44345</v>
      </c>
      <c r="B152">
        <v>371331</v>
      </c>
      <c r="C152">
        <f t="shared" si="38"/>
        <v>75</v>
      </c>
      <c r="D152">
        <f t="shared" si="39"/>
        <v>1344</v>
      </c>
      <c r="E152">
        <v>1547479</v>
      </c>
      <c r="F152">
        <f t="shared" si="34"/>
        <v>1280227</v>
      </c>
      <c r="G152">
        <f t="shared" si="35"/>
        <v>86.714285714285708</v>
      </c>
      <c r="H152">
        <f t="shared" si="36"/>
        <v>0.16122176199988744</v>
      </c>
      <c r="I152">
        <f t="shared" si="37"/>
        <v>3.5423405380452062E-3</v>
      </c>
      <c r="K152">
        <f t="shared" si="31"/>
        <v>1239449.8841383345</v>
      </c>
      <c r="L152">
        <f t="shared" si="32"/>
        <v>1935.9486203441061</v>
      </c>
      <c r="M152">
        <f t="shared" si="30"/>
        <v>374746.10051180108</v>
      </c>
      <c r="N152">
        <f t="shared" si="33"/>
        <v>1488900.9186293329</v>
      </c>
    </row>
    <row r="153" spans="1:14" x14ac:dyDescent="0.25">
      <c r="A153" s="1">
        <v>44346</v>
      </c>
      <c r="B153">
        <v>371384</v>
      </c>
      <c r="C153">
        <f t="shared" si="38"/>
        <v>53</v>
      </c>
      <c r="D153">
        <f t="shared" si="39"/>
        <v>1189</v>
      </c>
      <c r="E153">
        <v>1552014</v>
      </c>
      <c r="F153">
        <f t="shared" si="34"/>
        <v>1275639</v>
      </c>
      <c r="G153">
        <f t="shared" si="35"/>
        <v>89.285714285714292</v>
      </c>
      <c r="H153">
        <f t="shared" si="36"/>
        <v>0.18831789778453534</v>
      </c>
      <c r="I153">
        <f t="shared" si="37"/>
        <v>1.7344248647148605E-3</v>
      </c>
      <c r="K153">
        <f t="shared" si="31"/>
        <v>1234640.7585259716</v>
      </c>
      <c r="L153">
        <f t="shared" si="32"/>
        <v>1870.6399345330983</v>
      </c>
      <c r="M153">
        <f t="shared" si="30"/>
        <v>374939.69537383551</v>
      </c>
      <c r="N153">
        <f t="shared" si="33"/>
        <v>1493581.7580654726</v>
      </c>
    </row>
    <row r="154" spans="1:14" x14ac:dyDescent="0.25">
      <c r="A154" s="1">
        <v>44347</v>
      </c>
      <c r="B154">
        <v>371424</v>
      </c>
      <c r="C154">
        <f t="shared" si="38"/>
        <v>40</v>
      </c>
      <c r="D154">
        <f t="shared" si="39"/>
        <v>1061</v>
      </c>
      <c r="E154">
        <f>(E155+E153)/2</f>
        <v>1554226.5</v>
      </c>
      <c r="F154">
        <f t="shared" si="34"/>
        <v>1273386.5</v>
      </c>
      <c r="G154">
        <f t="shared" si="35"/>
        <v>92.142857142857139</v>
      </c>
      <c r="H154">
        <f t="shared" si="36"/>
        <v>0.2181751647371841</v>
      </c>
      <c r="I154">
        <f t="shared" si="37"/>
        <v>1.7374928978750757E-3</v>
      </c>
      <c r="K154">
        <f t="shared" si="31"/>
        <v>1229854.6034606607</v>
      </c>
      <c r="L154">
        <f t="shared" si="32"/>
        <v>1807.0534540897997</v>
      </c>
      <c r="M154">
        <f t="shared" si="30"/>
        <v>375126.75936728879</v>
      </c>
      <c r="N154">
        <f t="shared" si="33"/>
        <v>1498244.4356177736</v>
      </c>
    </row>
    <row r="155" spans="1:14" x14ac:dyDescent="0.25">
      <c r="A155" s="1">
        <v>44348</v>
      </c>
      <c r="B155">
        <v>371473</v>
      </c>
      <c r="C155">
        <f t="shared" si="38"/>
        <v>49</v>
      </c>
      <c r="D155">
        <f t="shared" si="39"/>
        <v>956</v>
      </c>
      <c r="E155">
        <v>1556439</v>
      </c>
      <c r="F155">
        <f t="shared" si="34"/>
        <v>1271125</v>
      </c>
      <c r="G155">
        <f t="shared" si="35"/>
        <v>91.428571428571431</v>
      </c>
      <c r="H155">
        <f t="shared" si="36"/>
        <v>0.24068833603905121</v>
      </c>
      <c r="I155">
        <f t="shared" si="37"/>
        <v>1.022716097944734E-3</v>
      </c>
      <c r="K155">
        <f>K154-($R$9*K154*L154/$B$1)-($S$9*K154)</f>
        <v>1227467.9428177541</v>
      </c>
      <c r="L155">
        <f>L154+($R$9*K154*L154/$B$1)-(L154/10)</f>
        <v>1801.9385505663604</v>
      </c>
      <c r="M155">
        <f t="shared" si="30"/>
        <v>375307.46471269778</v>
      </c>
      <c r="N155">
        <f>N154+($S$9*K154)</f>
        <v>1500455.5058187945</v>
      </c>
    </row>
    <row r="156" spans="1:14" x14ac:dyDescent="0.25">
      <c r="A156" s="1">
        <v>44349</v>
      </c>
      <c r="B156">
        <v>371635</v>
      </c>
      <c r="C156">
        <f t="shared" si="38"/>
        <v>162</v>
      </c>
      <c r="D156">
        <f t="shared" si="39"/>
        <v>1010</v>
      </c>
      <c r="E156">
        <v>1557739</v>
      </c>
      <c r="F156">
        <f t="shared" si="34"/>
        <v>1269663</v>
      </c>
      <c r="G156">
        <f t="shared" si="35"/>
        <v>97.142857142857139</v>
      </c>
      <c r="H156">
        <f t="shared" si="36"/>
        <v>0.24233731865507516</v>
      </c>
      <c r="I156">
        <f t="shared" si="37"/>
        <v>1.2838052302067556E-3</v>
      </c>
      <c r="K156">
        <f t="shared" ref="K156:K184" si="40">K155-($R$9*K155*L155/$B$1)-($S$9*K155)</f>
        <v>1225086.409785809</v>
      </c>
      <c r="L156">
        <f t="shared" ref="L156:L184" si="41">L155+($R$9*K155*L155/$B$1)-(L155/10)</f>
        <v>1796.498337894606</v>
      </c>
      <c r="M156">
        <f t="shared" si="30"/>
        <v>375487.65856775444</v>
      </c>
      <c r="N156">
        <f t="shared" ref="N156:N184" si="42">N155+($S$9*K155)</f>
        <v>1502662.2852083547</v>
      </c>
    </row>
    <row r="157" spans="1:14" x14ac:dyDescent="0.25">
      <c r="A157" s="1">
        <v>44350</v>
      </c>
      <c r="B157">
        <v>371761</v>
      </c>
      <c r="C157">
        <f t="shared" si="38"/>
        <v>126</v>
      </c>
      <c r="D157">
        <f t="shared" si="39"/>
        <v>1040</v>
      </c>
      <c r="E157">
        <v>1559369</v>
      </c>
      <c r="F157">
        <f t="shared" si="34"/>
        <v>1267907</v>
      </c>
      <c r="G157">
        <f t="shared" si="35"/>
        <v>87.571428571428569</v>
      </c>
      <c r="H157">
        <f t="shared" si="36"/>
        <v>0.2124520660236312</v>
      </c>
      <c r="I157">
        <f t="shared" si="37"/>
        <v>2.8945340628295292E-3</v>
      </c>
      <c r="K157">
        <f t="shared" si="40"/>
        <v>1222710.0239768657</v>
      </c>
      <c r="L157">
        <f t="shared" si="41"/>
        <v>1790.7365163732729</v>
      </c>
      <c r="M157">
        <f t="shared" si="30"/>
        <v>375667.30840154388</v>
      </c>
      <c r="N157">
        <f t="shared" si="42"/>
        <v>1504864.7830050299</v>
      </c>
    </row>
    <row r="158" spans="1:14" x14ac:dyDescent="0.25">
      <c r="A158" s="1">
        <v>44351</v>
      </c>
      <c r="B158">
        <v>371863</v>
      </c>
      <c r="C158">
        <f t="shared" si="38"/>
        <v>102</v>
      </c>
      <c r="D158">
        <f t="shared" si="39"/>
        <v>988</v>
      </c>
      <c r="E158">
        <v>1563039</v>
      </c>
      <c r="F158">
        <f t="shared" si="34"/>
        <v>1264135</v>
      </c>
      <c r="G158">
        <f t="shared" si="35"/>
        <v>81.714285714285708</v>
      </c>
      <c r="H158">
        <f t="shared" si="36"/>
        <v>0.20929885456758729</v>
      </c>
      <c r="I158">
        <f t="shared" si="37"/>
        <v>2.9585447756766484E-3</v>
      </c>
      <c r="K158">
        <f t="shared" si="40"/>
        <v>1220338.8044304422</v>
      </c>
      <c r="L158">
        <f t="shared" si="41"/>
        <v>1784.6569535342082</v>
      </c>
      <c r="M158">
        <f t="shared" si="30"/>
        <v>375846.38205318118</v>
      </c>
      <c r="N158">
        <f t="shared" si="42"/>
        <v>1507063.0084626551</v>
      </c>
    </row>
    <row r="159" spans="1:14" x14ac:dyDescent="0.25">
      <c r="A159" s="1">
        <v>44352</v>
      </c>
      <c r="B159">
        <v>371956</v>
      </c>
      <c r="C159">
        <f t="shared" si="38"/>
        <v>93</v>
      </c>
      <c r="D159">
        <f t="shared" si="39"/>
        <v>920</v>
      </c>
      <c r="E159">
        <v>1566779</v>
      </c>
      <c r="F159">
        <f t="shared" si="34"/>
        <v>1260302</v>
      </c>
      <c r="G159">
        <f t="shared" si="35"/>
        <v>82.714285714285708</v>
      </c>
      <c r="H159">
        <f t="shared" si="36"/>
        <v>0.2282113993904113</v>
      </c>
      <c r="I159">
        <f t="shared" si="37"/>
        <v>2.9738903850029595E-3</v>
      </c>
      <c r="K159">
        <f t="shared" si="40"/>
        <v>1217972.7696021223</v>
      </c>
      <c r="L159">
        <f t="shared" si="41"/>
        <v>1778.2636798610863</v>
      </c>
      <c r="M159">
        <f t="shared" si="30"/>
        <v>376024.84774853458</v>
      </c>
      <c r="N159">
        <f t="shared" si="42"/>
        <v>1509256.9708692948</v>
      </c>
    </row>
    <row r="160" spans="1:14" x14ac:dyDescent="0.25">
      <c r="A160" s="1">
        <v>44353</v>
      </c>
      <c r="B160">
        <v>372029</v>
      </c>
      <c r="C160">
        <f t="shared" si="38"/>
        <v>73</v>
      </c>
      <c r="D160">
        <f t="shared" si="39"/>
        <v>891</v>
      </c>
      <c r="E160">
        <v>1570527</v>
      </c>
      <c r="F160">
        <f t="shared" si="34"/>
        <v>1256481</v>
      </c>
      <c r="G160">
        <f t="shared" si="35"/>
        <v>81.285714285714292</v>
      </c>
      <c r="H160">
        <f t="shared" si="36"/>
        <v>0.23227360462410843</v>
      </c>
      <c r="I160">
        <f t="shared" si="37"/>
        <v>1.9172593934965987E-3</v>
      </c>
      <c r="K160">
        <f t="shared" si="40"/>
        <v>1215611.9373527202</v>
      </c>
      <c r="L160">
        <f t="shared" si="41"/>
        <v>1771.5608843779187</v>
      </c>
      <c r="M160">
        <f t="shared" si="30"/>
        <v>376202.67411652068</v>
      </c>
      <c r="N160">
        <f t="shared" si="42"/>
        <v>1511446.6795461939</v>
      </c>
    </row>
    <row r="161" spans="1:14" x14ac:dyDescent="0.25">
      <c r="A161" s="1">
        <v>44354</v>
      </c>
      <c r="B161">
        <v>372064</v>
      </c>
      <c r="C161">
        <f t="shared" si="38"/>
        <v>35</v>
      </c>
      <c r="D161">
        <f t="shared" si="39"/>
        <v>808</v>
      </c>
      <c r="E161">
        <v>1572936</v>
      </c>
      <c r="F161">
        <f t="shared" si="34"/>
        <v>1254037</v>
      </c>
      <c r="G161">
        <f t="shared" si="35"/>
        <v>78.285714285714292</v>
      </c>
      <c r="H161">
        <f t="shared" si="36"/>
        <v>0.24716107213749267</v>
      </c>
      <c r="I161">
        <f t="shared" si="37"/>
        <v>1.169821943052717E-3</v>
      </c>
      <c r="K161">
        <f t="shared" si="40"/>
        <v>1213256.3249380325</v>
      </c>
      <c r="L161">
        <f t="shared" si="41"/>
        <v>1764.5529101141328</v>
      </c>
      <c r="M161">
        <f t="shared" si="30"/>
        <v>376379.83020495845</v>
      </c>
      <c r="N161">
        <f t="shared" si="42"/>
        <v>1513632.1438467077</v>
      </c>
    </row>
    <row r="162" spans="1:14" x14ac:dyDescent="0.25">
      <c r="A162" s="1">
        <v>44355</v>
      </c>
      <c r="B162">
        <v>372153</v>
      </c>
      <c r="C162">
        <f t="shared" si="38"/>
        <v>89</v>
      </c>
      <c r="D162">
        <f t="shared" si="39"/>
        <v>822</v>
      </c>
      <c r="E162">
        <v>1574403</v>
      </c>
      <c r="F162">
        <f t="shared" si="34"/>
        <v>1252481</v>
      </c>
      <c r="G162">
        <f t="shared" si="35"/>
        <v>83.571428571428569</v>
      </c>
      <c r="H162">
        <f t="shared" si="36"/>
        <v>0.25967738273741636</v>
      </c>
      <c r="I162">
        <f t="shared" si="37"/>
        <v>2.0527257499315357E-3</v>
      </c>
      <c r="K162">
        <f t="shared" si="40"/>
        <v>1210905.9489991751</v>
      </c>
      <c r="L162">
        <f t="shared" si="41"/>
        <v>1757.2442494531151</v>
      </c>
      <c r="M162">
        <f t="shared" si="30"/>
        <v>376556.28549596987</v>
      </c>
      <c r="N162">
        <f t="shared" si="42"/>
        <v>1515813.3731552146</v>
      </c>
    </row>
    <row r="163" spans="1:14" x14ac:dyDescent="0.25">
      <c r="A163" s="1">
        <v>44356</v>
      </c>
      <c r="B163">
        <v>372248</v>
      </c>
      <c r="C163">
        <f t="shared" si="38"/>
        <v>95</v>
      </c>
      <c r="D163">
        <f t="shared" si="39"/>
        <v>864</v>
      </c>
      <c r="E163">
        <v>1576974</v>
      </c>
      <c r="F163">
        <f t="shared" si="34"/>
        <v>1249815</v>
      </c>
      <c r="G163">
        <f t="shared" si="35"/>
        <v>85.571428571428569</v>
      </c>
      <c r="H163">
        <f t="shared" si="36"/>
        <v>0.25350619127080543</v>
      </c>
      <c r="I163">
        <f t="shared" si="37"/>
        <v>2.3211435292423278E-3</v>
      </c>
      <c r="K163">
        <f t="shared" si="40"/>
        <v>1208560.8255535155</v>
      </c>
      <c r="L163">
        <f t="shared" si="41"/>
        <v>1749.6395393712055</v>
      </c>
      <c r="M163">
        <f t="shared" si="30"/>
        <v>376732.00992091518</v>
      </c>
      <c r="N163">
        <f t="shared" si="42"/>
        <v>1517990.3768860109</v>
      </c>
    </row>
    <row r="164" spans="1:14" x14ac:dyDescent="0.25">
      <c r="A164" s="1">
        <v>44357</v>
      </c>
      <c r="B164">
        <v>372333</v>
      </c>
      <c r="C164">
        <f t="shared" si="38"/>
        <v>85</v>
      </c>
      <c r="D164">
        <f t="shared" si="39"/>
        <v>909</v>
      </c>
      <c r="E164">
        <v>1579875</v>
      </c>
      <c r="F164">
        <f t="shared" si="34"/>
        <v>1246829</v>
      </c>
      <c r="G164">
        <f t="shared" si="35"/>
        <v>84.142857142857139</v>
      </c>
      <c r="H164">
        <f t="shared" si="36"/>
        <v>0.23750116250743325</v>
      </c>
      <c r="I164">
        <f t="shared" si="37"/>
        <v>1.315336746257907E-4</v>
      </c>
      <c r="K164">
        <f t="shared" si="40"/>
        <v>1206220.9699861966</v>
      </c>
      <c r="L164">
        <f t="shared" si="41"/>
        <v>1741.7435565742139</v>
      </c>
      <c r="M164">
        <f t="shared" ref="M164:M227" si="43">M163+(L163/10)</f>
        <v>376906.97387485229</v>
      </c>
      <c r="N164">
        <f t="shared" si="42"/>
        <v>1520163.1644821896</v>
      </c>
    </row>
    <row r="165" spans="1:14" x14ac:dyDescent="0.25">
      <c r="A165" s="1">
        <v>44358</v>
      </c>
      <c r="B165">
        <v>372442</v>
      </c>
      <c r="C165">
        <f t="shared" si="38"/>
        <v>109</v>
      </c>
      <c r="D165">
        <f t="shared" si="39"/>
        <v>969</v>
      </c>
      <c r="E165">
        <v>1580039</v>
      </c>
      <c r="F165">
        <f t="shared" si="34"/>
        <v>1246556</v>
      </c>
      <c r="G165">
        <f t="shared" si="35"/>
        <v>82.285714285714292</v>
      </c>
      <c r="H165">
        <f t="shared" si="36"/>
        <v>0.21792554265237368</v>
      </c>
      <c r="I165">
        <f t="shared" si="37"/>
        <v>2.7804607253905963E-3</v>
      </c>
      <c r="K165">
        <f t="shared" si="40"/>
        <v>1203886.3970422612</v>
      </c>
      <c r="L165">
        <f t="shared" si="41"/>
        <v>1733.5612125386024</v>
      </c>
      <c r="M165">
        <f t="shared" si="43"/>
        <v>377081.14823050972</v>
      </c>
      <c r="N165">
        <f t="shared" si="42"/>
        <v>1522331.7454145032</v>
      </c>
    </row>
    <row r="166" spans="1:14" x14ac:dyDescent="0.25">
      <c r="A166" s="1">
        <v>44359</v>
      </c>
      <c r="B166">
        <v>372525</v>
      </c>
      <c r="C166">
        <f t="shared" si="38"/>
        <v>83</v>
      </c>
      <c r="D166">
        <f t="shared" si="39"/>
        <v>890</v>
      </c>
      <c r="E166">
        <v>1583505</v>
      </c>
      <c r="F166">
        <f t="shared" si="34"/>
        <v>1243007</v>
      </c>
      <c r="G166">
        <f t="shared" si="35"/>
        <v>77.857142857142861</v>
      </c>
      <c r="H166">
        <f t="shared" si="36"/>
        <v>0.22514076860738996</v>
      </c>
      <c r="I166">
        <f t="shared" si="37"/>
        <v>2.0136652488682684E-3</v>
      </c>
      <c r="K166">
        <f t="shared" si="40"/>
        <v>1201557.120819371</v>
      </c>
      <c r="L166">
        <f t="shared" si="41"/>
        <v>1725.0975484645303</v>
      </c>
      <c r="M166">
        <f t="shared" si="43"/>
        <v>377254.50435176358</v>
      </c>
      <c r="N166">
        <f t="shared" si="42"/>
        <v>1524496.1291802137</v>
      </c>
    </row>
    <row r="167" spans="1:14" x14ac:dyDescent="0.25">
      <c r="A167" s="1">
        <v>44360</v>
      </c>
      <c r="B167">
        <v>372577</v>
      </c>
      <c r="C167">
        <f t="shared" si="38"/>
        <v>52</v>
      </c>
      <c r="D167">
        <f t="shared" si="39"/>
        <v>816</v>
      </c>
      <c r="E167">
        <v>1586008</v>
      </c>
      <c r="F167">
        <f t="shared" si="34"/>
        <v>1240452</v>
      </c>
      <c r="G167">
        <f t="shared" si="35"/>
        <v>74.857142857142861</v>
      </c>
      <c r="H167">
        <f t="shared" si="36"/>
        <v>0.23658237524080972</v>
      </c>
      <c r="I167">
        <f t="shared" si="37"/>
        <v>2.375746905160377E-3</v>
      </c>
      <c r="K167">
        <f t="shared" si="40"/>
        <v>1199233.1547611267</v>
      </c>
      <c r="L167">
        <f t="shared" si="41"/>
        <v>1716.3577301480047</v>
      </c>
      <c r="M167">
        <f t="shared" si="43"/>
        <v>377427.01410661003</v>
      </c>
      <c r="N167">
        <f t="shared" si="42"/>
        <v>1526656.325301928</v>
      </c>
    </row>
    <row r="168" spans="1:14" x14ac:dyDescent="0.25">
      <c r="A168" s="1">
        <v>44361</v>
      </c>
      <c r="B168">
        <v>372649</v>
      </c>
      <c r="C168">
        <f t="shared" si="38"/>
        <v>72</v>
      </c>
      <c r="D168">
        <f t="shared" si="39"/>
        <v>786</v>
      </c>
      <c r="E168">
        <v>1588955</v>
      </c>
      <c r="F168">
        <f t="shared" si="34"/>
        <v>1237433</v>
      </c>
      <c r="G168">
        <f t="shared" si="35"/>
        <v>74.857142857142861</v>
      </c>
      <c r="H168">
        <f t="shared" si="36"/>
        <v>0.24621146395497009</v>
      </c>
      <c r="I168">
        <f t="shared" si="37"/>
        <v>1.9346501992431105E-3</v>
      </c>
      <c r="K168">
        <f t="shared" si="40"/>
        <v>1196914.511650986</v>
      </c>
      <c r="L168">
        <f t="shared" si="41"/>
        <v>1707.3470427794041</v>
      </c>
      <c r="M168">
        <f t="shared" si="43"/>
        <v>377598.64987962483</v>
      </c>
      <c r="N168">
        <f t="shared" si="42"/>
        <v>1528812.3433264224</v>
      </c>
    </row>
    <row r="169" spans="1:14" x14ac:dyDescent="0.25">
      <c r="A169" s="1">
        <v>44362</v>
      </c>
      <c r="B169">
        <v>372752</v>
      </c>
      <c r="C169">
        <f t="shared" si="38"/>
        <v>103</v>
      </c>
      <c r="D169">
        <f t="shared" si="39"/>
        <v>796</v>
      </c>
      <c r="E169">
        <v>1591349</v>
      </c>
      <c r="F169">
        <f t="shared" si="34"/>
        <v>1234936</v>
      </c>
      <c r="G169">
        <f t="shared" si="35"/>
        <v>70.142857142857139</v>
      </c>
      <c r="H169">
        <f t="shared" si="36"/>
        <v>0.22826808554418268</v>
      </c>
      <c r="I169">
        <f t="shared" si="37"/>
        <v>4.6965996618448245E-5</v>
      </c>
      <c r="K169">
        <f t="shared" si="40"/>
        <v>1194601.2036067785</v>
      </c>
      <c r="L169">
        <f t="shared" si="41"/>
        <v>1698.0708856756648</v>
      </c>
      <c r="M169">
        <f t="shared" si="43"/>
        <v>377769.38458390278</v>
      </c>
      <c r="N169">
        <f t="shared" si="42"/>
        <v>1530964.1928234557</v>
      </c>
    </row>
    <row r="170" spans="1:14" x14ac:dyDescent="0.25">
      <c r="A170" s="1">
        <v>44363</v>
      </c>
      <c r="B170">
        <v>372837</v>
      </c>
      <c r="C170">
        <f t="shared" si="38"/>
        <v>85</v>
      </c>
      <c r="D170">
        <f t="shared" si="39"/>
        <v>808</v>
      </c>
      <c r="E170">
        <v>1591407</v>
      </c>
      <c r="F170">
        <f t="shared" si="34"/>
        <v>1234793</v>
      </c>
      <c r="G170">
        <f t="shared" si="35"/>
        <v>67.285714285714292</v>
      </c>
      <c r="H170">
        <f t="shared" si="36"/>
        <v>0.21574294892581686</v>
      </c>
      <c r="I170">
        <f t="shared" si="37"/>
        <v>3.0442349446425433E-3</v>
      </c>
      <c r="K170">
        <f t="shared" si="40"/>
        <v>1192293.2420758163</v>
      </c>
      <c r="L170">
        <f t="shared" si="41"/>
        <v>1688.5347669534194</v>
      </c>
      <c r="M170">
        <f t="shared" si="43"/>
        <v>377939.19167247036</v>
      </c>
      <c r="N170">
        <f t="shared" si="42"/>
        <v>1533111.8833845726</v>
      </c>
    </row>
    <row r="171" spans="1:14" x14ac:dyDescent="0.25">
      <c r="A171" s="1">
        <v>44364</v>
      </c>
      <c r="B171">
        <v>372909</v>
      </c>
      <c r="C171">
        <f t="shared" si="38"/>
        <v>72</v>
      </c>
      <c r="D171">
        <f t="shared" si="39"/>
        <v>845</v>
      </c>
      <c r="E171">
        <v>1595166</v>
      </c>
      <c r="F171">
        <f t="shared" si="34"/>
        <v>1230962</v>
      </c>
      <c r="G171">
        <f t="shared" si="35"/>
        <v>68.142857142857139</v>
      </c>
      <c r="H171">
        <f t="shared" si="36"/>
        <v>0.20957440741393329</v>
      </c>
      <c r="I171">
        <f t="shared" si="37"/>
        <v>2.1877198483787478E-3</v>
      </c>
      <c r="K171">
        <f t="shared" si="40"/>
        <v>1189990.6378305985</v>
      </c>
      <c r="L171">
        <f t="shared" si="41"/>
        <v>1678.7442981503666</v>
      </c>
      <c r="M171">
        <f t="shared" si="43"/>
        <v>378108.04514916573</v>
      </c>
      <c r="N171">
        <f t="shared" si="42"/>
        <v>1535255.424621898</v>
      </c>
    </row>
    <row r="172" spans="1:14" x14ac:dyDescent="0.25">
      <c r="A172" s="1">
        <v>44365</v>
      </c>
      <c r="B172">
        <v>372987</v>
      </c>
      <c r="C172">
        <f t="shared" si="38"/>
        <v>78</v>
      </c>
      <c r="D172">
        <f t="shared" si="39"/>
        <v>834</v>
      </c>
      <c r="E172">
        <v>1597859</v>
      </c>
      <c r="F172">
        <f t="shared" si="34"/>
        <v>1228191</v>
      </c>
      <c r="G172">
        <f t="shared" si="35"/>
        <v>66.142857142857139</v>
      </c>
      <c r="H172">
        <f t="shared" si="36"/>
        <v>0.20657142855413471</v>
      </c>
      <c r="I172">
        <f t="shared" si="37"/>
        <v>3.031287478901897E-3</v>
      </c>
      <c r="K172">
        <f t="shared" si="40"/>
        <v>1187693.4009651057</v>
      </c>
      <c r="L172">
        <f t="shared" si="41"/>
        <v>1668.7051888021308</v>
      </c>
      <c r="M172">
        <f t="shared" si="43"/>
        <v>378275.91957898077</v>
      </c>
      <c r="N172">
        <f t="shared" si="42"/>
        <v>1537394.8261669239</v>
      </c>
    </row>
    <row r="173" spans="1:14" x14ac:dyDescent="0.25">
      <c r="A173" s="1">
        <v>44366</v>
      </c>
      <c r="B173">
        <v>373049</v>
      </c>
      <c r="C173">
        <f t="shared" si="38"/>
        <v>62</v>
      </c>
      <c r="D173">
        <f t="shared" si="39"/>
        <v>801</v>
      </c>
      <c r="E173">
        <v>1601582</v>
      </c>
      <c r="F173">
        <f t="shared" si="34"/>
        <v>1224406</v>
      </c>
      <c r="G173">
        <f t="shared" si="35"/>
        <v>66.142857142857139</v>
      </c>
      <c r="H173">
        <f t="shared" si="36"/>
        <v>0.21574674339906044</v>
      </c>
      <c r="I173">
        <f t="shared" si="37"/>
        <v>1.7829053434890061E-3</v>
      </c>
      <c r="K173">
        <f t="shared" si="40"/>
        <v>1185401.5408916799</v>
      </c>
      <c r="L173">
        <f t="shared" si="41"/>
        <v>1658.4232409818367</v>
      </c>
      <c r="M173">
        <f t="shared" si="43"/>
        <v>378442.79009786097</v>
      </c>
      <c r="N173">
        <f t="shared" si="42"/>
        <v>1539530.0976692897</v>
      </c>
    </row>
    <row r="174" spans="1:14" x14ac:dyDescent="0.25">
      <c r="A174" s="1">
        <v>44367</v>
      </c>
      <c r="B174">
        <v>373101</v>
      </c>
      <c r="C174">
        <f t="shared" si="38"/>
        <v>52</v>
      </c>
      <c r="D174">
        <f t="shared" si="39"/>
        <v>768</v>
      </c>
      <c r="E174">
        <v>1603765</v>
      </c>
      <c r="F174">
        <f t="shared" si="34"/>
        <v>1222171</v>
      </c>
      <c r="G174">
        <f t="shared" si="35"/>
        <v>68.571428571428569</v>
      </c>
      <c r="H174">
        <f t="shared" si="36"/>
        <v>0.23370567913281248</v>
      </c>
      <c r="I174">
        <f t="shared" si="37"/>
        <v>1.4032406267208107E-3</v>
      </c>
      <c r="K174">
        <f t="shared" si="40"/>
        <v>1183115.0663384872</v>
      </c>
      <c r="L174">
        <f t="shared" si="41"/>
        <v>1647.9043438095719</v>
      </c>
      <c r="M174">
        <f t="shared" si="43"/>
        <v>378608.63242195913</v>
      </c>
      <c r="N174">
        <f t="shared" si="42"/>
        <v>1541661.2487955566</v>
      </c>
    </row>
    <row r="175" spans="1:14" x14ac:dyDescent="0.25">
      <c r="A175" s="1">
        <v>44368</v>
      </c>
      <c r="B175">
        <v>373140</v>
      </c>
      <c r="C175">
        <f t="shared" si="38"/>
        <v>39</v>
      </c>
      <c r="D175">
        <f t="shared" si="39"/>
        <v>698</v>
      </c>
      <c r="E175">
        <v>1605480</v>
      </c>
      <c r="F175">
        <f t="shared" si="34"/>
        <v>1220417</v>
      </c>
      <c r="G175">
        <f t="shared" si="35"/>
        <v>68.857142857142861</v>
      </c>
      <c r="H175">
        <f t="shared" si="36"/>
        <v>0.25858575108513832</v>
      </c>
      <c r="I175">
        <f t="shared" si="37"/>
        <v>7.5466008749468423E-4</v>
      </c>
      <c r="K175">
        <f t="shared" si="40"/>
        <v>1180833.9853475562</v>
      </c>
      <c r="L175">
        <f t="shared" si="41"/>
        <v>1637.154467938861</v>
      </c>
      <c r="M175">
        <f t="shared" si="43"/>
        <v>378773.42285634007</v>
      </c>
      <c r="N175">
        <f t="shared" si="42"/>
        <v>1543788.2892279774</v>
      </c>
    </row>
    <row r="176" spans="1:14" x14ac:dyDescent="0.25">
      <c r="A176" s="1">
        <v>44369</v>
      </c>
      <c r="B176">
        <v>373223</v>
      </c>
      <c r="C176">
        <f t="shared" si="38"/>
        <v>83</v>
      </c>
      <c r="D176">
        <f t="shared" si="39"/>
        <v>698</v>
      </c>
      <c r="E176">
        <v>1606401</v>
      </c>
      <c r="F176">
        <f t="shared" si="34"/>
        <v>1219413</v>
      </c>
      <c r="G176">
        <f t="shared" si="35"/>
        <v>71.571428571428569</v>
      </c>
      <c r="H176">
        <f t="shared" si="36"/>
        <v>0.26900026368652397</v>
      </c>
      <c r="I176">
        <f t="shared" si="37"/>
        <v>1.2030378550991338E-3</v>
      </c>
      <c r="K176">
        <f t="shared" si="40"/>
        <v>1178558.305273388</v>
      </c>
      <c r="L176">
        <f t="shared" si="41"/>
        <v>1626.1796600271941</v>
      </c>
      <c r="M176">
        <f t="shared" si="43"/>
        <v>378937.13830313395</v>
      </c>
      <c r="N176">
        <f t="shared" si="42"/>
        <v>1545911.2286632634</v>
      </c>
    </row>
    <row r="177" spans="1:14" x14ac:dyDescent="0.25">
      <c r="A177" s="1">
        <v>44370</v>
      </c>
      <c r="B177">
        <v>373314</v>
      </c>
      <c r="C177">
        <f t="shared" si="38"/>
        <v>91</v>
      </c>
      <c r="D177">
        <f t="shared" si="39"/>
        <v>737</v>
      </c>
      <c r="E177">
        <v>1607868</v>
      </c>
      <c r="F177">
        <f t="shared" si="34"/>
        <v>1217855</v>
      </c>
      <c r="G177">
        <f t="shared" si="35"/>
        <v>73.142857142857139</v>
      </c>
      <c r="H177">
        <f t="shared" si="36"/>
        <v>0.26069224540365721</v>
      </c>
      <c r="I177">
        <f t="shared" si="37"/>
        <v>1.9156631947152985E-3</v>
      </c>
      <c r="K177">
        <f t="shared" si="40"/>
        <v>1176288.0327821306</v>
      </c>
      <c r="L177">
        <f t="shared" si="41"/>
        <v>1614.9860371975817</v>
      </c>
      <c r="M177">
        <f t="shared" si="43"/>
        <v>379099.75626913668</v>
      </c>
      <c r="N177">
        <f t="shared" si="42"/>
        <v>1548030.0768113476</v>
      </c>
    </row>
    <row r="178" spans="1:14" x14ac:dyDescent="0.25">
      <c r="A178" s="1">
        <v>44371</v>
      </c>
      <c r="B178">
        <v>373372</v>
      </c>
      <c r="C178">
        <f t="shared" si="38"/>
        <v>58</v>
      </c>
      <c r="D178">
        <f t="shared" si="39"/>
        <v>723</v>
      </c>
      <c r="E178">
        <v>1610201</v>
      </c>
      <c r="F178">
        <f t="shared" si="34"/>
        <v>1215464</v>
      </c>
      <c r="G178">
        <f t="shared" si="35"/>
        <v>78.142857142857139</v>
      </c>
      <c r="H178">
        <f t="shared" si="36"/>
        <v>0.28446454973764401</v>
      </c>
      <c r="I178">
        <f t="shared" si="37"/>
        <v>1.8610176854271291E-3</v>
      </c>
      <c r="K178">
        <f t="shared" si="40"/>
        <v>1174023.1738513098</v>
      </c>
      <c r="L178">
        <f t="shared" si="41"/>
        <v>1603.579781498009</v>
      </c>
      <c r="M178">
        <f t="shared" si="43"/>
        <v>379261.25487285643</v>
      </c>
      <c r="N178">
        <f t="shared" si="42"/>
        <v>1550144.8433941482</v>
      </c>
    </row>
    <row r="179" spans="1:14" x14ac:dyDescent="0.25">
      <c r="A179" s="1">
        <v>44372</v>
      </c>
      <c r="B179">
        <v>373450</v>
      </c>
      <c r="C179">
        <f t="shared" si="38"/>
        <v>78</v>
      </c>
      <c r="D179">
        <f t="shared" si="39"/>
        <v>698</v>
      </c>
      <c r="E179">
        <v>1612463</v>
      </c>
      <c r="F179">
        <f t="shared" si="34"/>
        <v>1213124</v>
      </c>
      <c r="G179">
        <f t="shared" si="35"/>
        <v>84</v>
      </c>
      <c r="H179">
        <f t="shared" si="36"/>
        <v>0.31734958290782539</v>
      </c>
      <c r="I179">
        <f t="shared" si="37"/>
        <v>1.6758385787438053E-3</v>
      </c>
      <c r="K179">
        <f t="shared" si="40"/>
        <v>1171763.7337701113</v>
      </c>
      <c r="L179">
        <f t="shared" si="41"/>
        <v>1591.9671343655652</v>
      </c>
      <c r="M179">
        <f t="shared" si="43"/>
        <v>379421.61285100621</v>
      </c>
      <c r="N179">
        <f t="shared" si="42"/>
        <v>1552255.5381443293</v>
      </c>
    </row>
    <row r="180" spans="1:14" x14ac:dyDescent="0.25">
      <c r="A180" s="1">
        <v>44373</v>
      </c>
      <c r="B180">
        <v>373529</v>
      </c>
      <c r="C180">
        <f t="shared" si="38"/>
        <v>79</v>
      </c>
      <c r="D180">
        <f t="shared" si="39"/>
        <v>692</v>
      </c>
      <c r="E180">
        <v>1614496</v>
      </c>
      <c r="F180">
        <f t="shared" si="34"/>
        <v>1211012</v>
      </c>
      <c r="G180">
        <f t="shared" si="35"/>
        <v>86.285714285714292</v>
      </c>
      <c r="H180">
        <f t="shared" si="36"/>
        <v>0.32938485052675837</v>
      </c>
      <c r="I180">
        <f t="shared" si="37"/>
        <v>1.4871859238389049E-3</v>
      </c>
      <c r="K180">
        <f t="shared" si="40"/>
        <v>1169509.7171402033</v>
      </c>
      <c r="L180">
        <f t="shared" si="41"/>
        <v>1580.1543911019087</v>
      </c>
      <c r="M180">
        <f t="shared" si="43"/>
        <v>379580.80956444278</v>
      </c>
      <c r="N180">
        <f t="shared" si="42"/>
        <v>1554362.1708040645</v>
      </c>
    </row>
    <row r="181" spans="1:14" x14ac:dyDescent="0.25">
      <c r="A181" s="1">
        <v>44374</v>
      </c>
      <c r="B181">
        <v>373583</v>
      </c>
      <c r="C181">
        <f t="shared" si="38"/>
        <v>54</v>
      </c>
      <c r="D181">
        <f t="shared" si="39"/>
        <v>674</v>
      </c>
      <c r="E181">
        <v>1616297</v>
      </c>
      <c r="F181">
        <f t="shared" si="34"/>
        <v>1209157</v>
      </c>
      <c r="G181">
        <f t="shared" si="35"/>
        <v>84.428571428571431</v>
      </c>
      <c r="H181">
        <f t="shared" si="36"/>
        <v>0.33141038486455104</v>
      </c>
      <c r="I181">
        <f t="shared" si="37"/>
        <v>1.8971895295648124E-3</v>
      </c>
      <c r="K181">
        <f t="shared" si="40"/>
        <v>1167261.1278770925</v>
      </c>
      <c r="L181">
        <f t="shared" si="41"/>
        <v>1568.1478953666087</v>
      </c>
      <c r="M181">
        <f t="shared" si="43"/>
        <v>379738.82500355295</v>
      </c>
      <c r="N181">
        <f t="shared" si="42"/>
        <v>1556464.7511238004</v>
      </c>
    </row>
    <row r="182" spans="1:14" x14ac:dyDescent="0.25">
      <c r="A182" s="1">
        <v>44375</v>
      </c>
      <c r="B182">
        <v>373641</v>
      </c>
      <c r="C182">
        <f t="shared" si="38"/>
        <v>58</v>
      </c>
      <c r="D182">
        <f t="shared" si="39"/>
        <v>654</v>
      </c>
      <c r="E182">
        <v>1618591</v>
      </c>
      <c r="F182">
        <f t="shared" si="34"/>
        <v>1206805</v>
      </c>
      <c r="G182">
        <f t="shared" si="35"/>
        <v>85.285714285714292</v>
      </c>
      <c r="H182">
        <f t="shared" si="36"/>
        <v>0.34568513538095025</v>
      </c>
      <c r="I182">
        <f t="shared" si="37"/>
        <v>7.9963208637683796E-4</v>
      </c>
      <c r="K182">
        <f t="shared" si="40"/>
        <v>1165017.9692120051</v>
      </c>
      <c r="L182">
        <f t="shared" si="41"/>
        <v>1555.9540336947744</v>
      </c>
      <c r="M182">
        <f t="shared" si="43"/>
        <v>379895.63979308959</v>
      </c>
      <c r="N182">
        <f t="shared" si="42"/>
        <v>1558563.2888610228</v>
      </c>
    </row>
    <row r="183" spans="1:14" x14ac:dyDescent="0.25">
      <c r="A183" s="1">
        <v>44376</v>
      </c>
      <c r="B183">
        <v>373735</v>
      </c>
      <c r="C183">
        <f t="shared" si="38"/>
        <v>94</v>
      </c>
      <c r="D183">
        <f t="shared" si="39"/>
        <v>686</v>
      </c>
      <c r="E183">
        <v>1619556</v>
      </c>
      <c r="F183">
        <f t="shared" si="34"/>
        <v>1205746</v>
      </c>
      <c r="G183">
        <f t="shared" si="35"/>
        <v>80.857142857142861</v>
      </c>
      <c r="H183">
        <f t="shared" si="36"/>
        <v>0.31272147710831533</v>
      </c>
      <c r="I183">
        <f t="shared" si="37"/>
        <v>1.385864021112241E-3</v>
      </c>
      <c r="K183">
        <f t="shared" si="40"/>
        <v>1162780.243694281</v>
      </c>
      <c r="L183">
        <f t="shared" si="41"/>
        <v>1543.5792300452392</v>
      </c>
      <c r="M183">
        <f t="shared" si="43"/>
        <v>380051.23519645905</v>
      </c>
      <c r="N183">
        <f t="shared" si="42"/>
        <v>1560657.7937790269</v>
      </c>
    </row>
    <row r="184" spans="1:14" x14ac:dyDescent="0.25">
      <c r="A184" s="1">
        <v>44377</v>
      </c>
      <c r="B184">
        <v>373861</v>
      </c>
      <c r="C184">
        <f t="shared" si="38"/>
        <v>126</v>
      </c>
      <c r="D184">
        <f t="shared" si="39"/>
        <v>760</v>
      </c>
      <c r="E184">
        <v>1621227</v>
      </c>
      <c r="F184">
        <f t="shared" si="34"/>
        <v>1203949</v>
      </c>
      <c r="G184">
        <f t="shared" si="35"/>
        <v>78.571428571428569</v>
      </c>
      <c r="H184">
        <f t="shared" si="36"/>
        <v>0.27470225848312196</v>
      </c>
      <c r="I184">
        <f t="shared" si="37"/>
        <v>1.6279759358577481E-3</v>
      </c>
      <c r="K184">
        <f t="shared" si="40"/>
        <v>1160547.953194272</v>
      </c>
      <c r="L184">
        <f t="shared" si="41"/>
        <v>1531.0299403854297</v>
      </c>
      <c r="M184">
        <f t="shared" si="43"/>
        <v>380205.59311946359</v>
      </c>
      <c r="N184">
        <f t="shared" si="42"/>
        <v>1562748.2756456912</v>
      </c>
    </row>
    <row r="185" spans="1:14" x14ac:dyDescent="0.25">
      <c r="A185" s="1">
        <v>44378</v>
      </c>
      <c r="B185">
        <v>373960</v>
      </c>
      <c r="C185">
        <f t="shared" si="38"/>
        <v>99</v>
      </c>
      <c r="D185">
        <f t="shared" si="39"/>
        <v>820</v>
      </c>
      <c r="E185">
        <v>1623187</v>
      </c>
      <c r="F185">
        <f t="shared" si="34"/>
        <v>1201890</v>
      </c>
      <c r="G185">
        <f t="shared" si="35"/>
        <v>74.285714285714292</v>
      </c>
      <c r="H185">
        <f t="shared" si="36"/>
        <v>0.24112708314833872</v>
      </c>
      <c r="I185">
        <f t="shared" si="37"/>
        <v>6.8059472996696868E-4</v>
      </c>
      <c r="K185">
        <f>K184-($R$10*K184*L184/$B$1)-($S$10*K184)</f>
        <v>1158462.8761861697</v>
      </c>
      <c r="L185">
        <f>L184+($R$10*K184*L184/$B$1)-(L184/10)</f>
        <v>1609.8838469809202</v>
      </c>
      <c r="M185">
        <f t="shared" si="43"/>
        <v>380358.69611350214</v>
      </c>
      <c r="N185">
        <f>N184+($S$10*K184)</f>
        <v>1564601.3957531594</v>
      </c>
    </row>
    <row r="186" spans="1:14" x14ac:dyDescent="0.25">
      <c r="A186" s="1">
        <v>44379</v>
      </c>
      <c r="B186">
        <v>374054</v>
      </c>
      <c r="C186">
        <f t="shared" si="38"/>
        <v>94</v>
      </c>
      <c r="D186">
        <f t="shared" si="39"/>
        <v>831</v>
      </c>
      <c r="E186">
        <v>1624005</v>
      </c>
      <c r="F186">
        <f t="shared" si="34"/>
        <v>1200978</v>
      </c>
      <c r="G186">
        <f t="shared" si="35"/>
        <v>60.142857142857146</v>
      </c>
      <c r="H186">
        <f t="shared" si="36"/>
        <v>0.19278233815625012</v>
      </c>
      <c r="I186">
        <f t="shared" si="37"/>
        <v>2.1057837862142356E-3</v>
      </c>
      <c r="K186">
        <f t="shared" ref="K186:K215" si="44">K185-($R$10*K185*L185/$B$1)-($S$10*K185)</f>
        <v>1156369.6200879565</v>
      </c>
      <c r="L186">
        <f t="shared" ref="L186:L215" si="45">L185+($R$10*K185*L185/$B$1)-(L185/10)</f>
        <v>1692.3608269832255</v>
      </c>
      <c r="M186">
        <f t="shared" si="43"/>
        <v>380519.68449820025</v>
      </c>
      <c r="N186">
        <f t="shared" ref="N186:N215" si="46">N185+($S$10*K185)</f>
        <v>1566451.1864866721</v>
      </c>
    </row>
    <row r="187" spans="1:14" x14ac:dyDescent="0.25">
      <c r="A187" s="1">
        <v>44380</v>
      </c>
      <c r="B187">
        <v>374120</v>
      </c>
      <c r="C187">
        <f t="shared" si="38"/>
        <v>66</v>
      </c>
      <c r="D187">
        <f t="shared" si="39"/>
        <v>806</v>
      </c>
      <c r="E187">
        <v>1626534</v>
      </c>
      <c r="F187">
        <f t="shared" si="34"/>
        <v>1198383</v>
      </c>
      <c r="G187">
        <f t="shared" si="35"/>
        <v>46.714285714285715</v>
      </c>
      <c r="H187">
        <f t="shared" si="36"/>
        <v>0.15471709214660906</v>
      </c>
      <c r="I187">
        <f t="shared" si="37"/>
        <v>1.3776897702988109E-3</v>
      </c>
      <c r="K187">
        <f t="shared" si="44"/>
        <v>1154267.6957571027</v>
      </c>
      <c r="L187">
        <f t="shared" si="45"/>
        <v>1778.6007756502522</v>
      </c>
      <c r="M187">
        <f t="shared" si="43"/>
        <v>380688.92058089859</v>
      </c>
      <c r="N187">
        <f t="shared" si="46"/>
        <v>1568297.6347861607</v>
      </c>
    </row>
    <row r="188" spans="1:14" x14ac:dyDescent="0.25">
      <c r="A188" s="1">
        <v>44381</v>
      </c>
      <c r="B188">
        <v>374180</v>
      </c>
      <c r="C188">
        <f t="shared" si="38"/>
        <v>60</v>
      </c>
      <c r="D188">
        <f t="shared" si="39"/>
        <v>808</v>
      </c>
      <c r="E188">
        <v>1628185</v>
      </c>
      <c r="F188">
        <f t="shared" si="34"/>
        <v>1196672</v>
      </c>
      <c r="G188">
        <f t="shared" si="35"/>
        <v>78.714285714285708</v>
      </c>
      <c r="H188">
        <f t="shared" si="36"/>
        <v>0.26042719410454951</v>
      </c>
      <c r="I188">
        <f t="shared" si="37"/>
        <v>8.7367298641565947E-4</v>
      </c>
      <c r="K188">
        <f t="shared" si="44"/>
        <v>1152156.5971000758</v>
      </c>
      <c r="L188">
        <f t="shared" si="45"/>
        <v>1868.7473307618975</v>
      </c>
      <c r="M188">
        <f t="shared" si="43"/>
        <v>380866.7806584636</v>
      </c>
      <c r="N188">
        <f t="shared" si="46"/>
        <v>1570140.726810511</v>
      </c>
    </row>
    <row r="189" spans="1:14" x14ac:dyDescent="0.25">
      <c r="A189" s="1">
        <v>44382</v>
      </c>
      <c r="B189">
        <v>374207</v>
      </c>
      <c r="C189">
        <f t="shared" si="38"/>
        <v>27</v>
      </c>
      <c r="D189">
        <f t="shared" si="39"/>
        <v>757</v>
      </c>
      <c r="E189">
        <f>(E190+E188)/2</f>
        <v>1629230.5</v>
      </c>
      <c r="F189">
        <f t="shared" si="34"/>
        <v>1195599.5</v>
      </c>
      <c r="G189">
        <f t="shared" si="35"/>
        <v>70.142857142857139</v>
      </c>
      <c r="H189">
        <f t="shared" si="36"/>
        <v>0.2479254504799161</v>
      </c>
      <c r="I189">
        <f t="shared" si="37"/>
        <v>8.7445670561086717E-4</v>
      </c>
      <c r="K189">
        <f t="shared" si="44"/>
        <v>1150035.8007409789</v>
      </c>
      <c r="L189">
        <f t="shared" si="45"/>
        <v>1962.9478567954088</v>
      </c>
      <c r="M189">
        <f t="shared" si="43"/>
        <v>381053.6553915398</v>
      </c>
      <c r="N189">
        <f t="shared" si="46"/>
        <v>1571980.4479104981</v>
      </c>
    </row>
    <row r="190" spans="1:14" x14ac:dyDescent="0.25">
      <c r="A190" s="1">
        <v>44383</v>
      </c>
      <c r="B190">
        <v>374285</v>
      </c>
      <c r="C190">
        <f t="shared" si="38"/>
        <v>78</v>
      </c>
      <c r="D190">
        <f t="shared" si="39"/>
        <v>756</v>
      </c>
      <c r="E190">
        <v>1630276</v>
      </c>
      <c r="F190">
        <f t="shared" si="34"/>
        <v>1194476</v>
      </c>
      <c r="G190">
        <f t="shared" si="35"/>
        <v>66.285714285714292</v>
      </c>
      <c r="H190">
        <f t="shared" si="36"/>
        <v>0.23482264744446418</v>
      </c>
      <c r="I190">
        <f t="shared" si="37"/>
        <v>3.35712061188337E-4</v>
      </c>
      <c r="K190">
        <f t="shared" si="44"/>
        <v>1147904.7657034791</v>
      </c>
      <c r="L190">
        <f t="shared" si="45"/>
        <v>2061.3534179244243</v>
      </c>
      <c r="M190">
        <f t="shared" si="43"/>
        <v>381249.95017721935</v>
      </c>
      <c r="N190">
        <f t="shared" si="46"/>
        <v>1573816.7826011893</v>
      </c>
    </row>
    <row r="191" spans="1:14" x14ac:dyDescent="0.25">
      <c r="A191" s="1">
        <v>44384</v>
      </c>
      <c r="B191">
        <v>374381</v>
      </c>
      <c r="C191">
        <f t="shared" si="38"/>
        <v>96</v>
      </c>
      <c r="D191">
        <f t="shared" si="39"/>
        <v>798</v>
      </c>
      <c r="E191">
        <v>1630677</v>
      </c>
      <c r="F191">
        <f t="shared" si="34"/>
        <v>1193979</v>
      </c>
      <c r="G191">
        <f t="shared" si="35"/>
        <v>94.714285714285708</v>
      </c>
      <c r="H191">
        <f t="shared" si="36"/>
        <v>0.31800589578151084</v>
      </c>
      <c r="I191">
        <f t="shared" si="37"/>
        <v>1.2914800009045386E-3</v>
      </c>
      <c r="K191">
        <f t="shared" si="44"/>
        <v>1145762.9331080627</v>
      </c>
      <c r="L191">
        <f t="shared" si="45"/>
        <v>2164.1187388964481</v>
      </c>
      <c r="M191">
        <f t="shared" si="43"/>
        <v>381456.08551901177</v>
      </c>
      <c r="N191">
        <f t="shared" si="46"/>
        <v>1575649.7145338412</v>
      </c>
    </row>
    <row r="192" spans="1:14" x14ac:dyDescent="0.25">
      <c r="A192" s="1">
        <v>44385</v>
      </c>
      <c r="B192">
        <v>374381</v>
      </c>
      <c r="C192">
        <f t="shared" si="38"/>
        <v>0</v>
      </c>
      <c r="D192">
        <f t="shared" si="39"/>
        <v>740</v>
      </c>
      <c r="E192">
        <v>1632219</v>
      </c>
      <c r="F192">
        <f t="shared" si="34"/>
        <v>1192437</v>
      </c>
      <c r="G192">
        <f t="shared" si="35"/>
        <v>128.14285714285714</v>
      </c>
      <c r="H192">
        <f t="shared" si="36"/>
        <v>0.46456501706250747</v>
      </c>
      <c r="I192">
        <f t="shared" si="37"/>
        <v>1.6285975695152029E-3</v>
      </c>
      <c r="K192">
        <f t="shared" si="44"/>
        <v>1143609.725886802</v>
      </c>
      <c r="L192">
        <f t="shared" si="45"/>
        <v>2271.4021527964965</v>
      </c>
      <c r="M192">
        <f t="shared" si="43"/>
        <v>381672.49739290139</v>
      </c>
      <c r="N192">
        <f t="shared" si="46"/>
        <v>1577479.2264673123</v>
      </c>
    </row>
    <row r="193" spans="1:14" x14ac:dyDescent="0.25">
      <c r="A193" s="1">
        <v>44386</v>
      </c>
      <c r="B193">
        <v>374381</v>
      </c>
      <c r="C193">
        <f t="shared" si="38"/>
        <v>0</v>
      </c>
      <c r="D193">
        <f t="shared" si="39"/>
        <v>646</v>
      </c>
      <c r="E193">
        <v>1634161</v>
      </c>
      <c r="F193">
        <f t="shared" si="34"/>
        <v>1190495</v>
      </c>
      <c r="G193">
        <f t="shared" si="35"/>
        <v>134.28571428571428</v>
      </c>
      <c r="H193">
        <f t="shared" si="36"/>
        <v>0.55858463194795449</v>
      </c>
      <c r="I193">
        <f t="shared" si="37"/>
        <v>1.6808134431475982E-3</v>
      </c>
      <c r="K193">
        <f t="shared" si="44"/>
        <v>1141444.5485179536</v>
      </c>
      <c r="L193">
        <f t="shared" si="45"/>
        <v>2383.3655346575156</v>
      </c>
      <c r="M193">
        <f t="shared" si="43"/>
        <v>381899.63760818104</v>
      </c>
      <c r="N193">
        <f t="shared" si="46"/>
        <v>1579305.30023902</v>
      </c>
    </row>
    <row r="194" spans="1:14" x14ac:dyDescent="0.25">
      <c r="A194" s="1">
        <v>44387</v>
      </c>
      <c r="B194">
        <v>374671</v>
      </c>
      <c r="C194">
        <f t="shared" si="38"/>
        <v>290</v>
      </c>
      <c r="D194">
        <f t="shared" si="39"/>
        <v>810</v>
      </c>
      <c r="E194">
        <v>1636162</v>
      </c>
      <c r="F194">
        <f t="shared" si="34"/>
        <v>1188204</v>
      </c>
      <c r="G194">
        <f t="shared" si="35"/>
        <v>134.28571428571428</v>
      </c>
      <c r="H194">
        <f t="shared" si="36"/>
        <v>0.44634743953996647</v>
      </c>
      <c r="I194">
        <f t="shared" si="37"/>
        <v>1.6924703165449703E-3</v>
      </c>
      <c r="K194">
        <f t="shared" si="44"/>
        <v>1139266.7867828596</v>
      </c>
      <c r="L194">
        <f t="shared" si="45"/>
        <v>2500.174219831194</v>
      </c>
      <c r="M194">
        <f t="shared" si="43"/>
        <v>382137.97416164679</v>
      </c>
      <c r="N194">
        <f t="shared" si="46"/>
        <v>1581127.9167354747</v>
      </c>
    </row>
    <row r="195" spans="1:14" x14ac:dyDescent="0.25">
      <c r="A195" s="1">
        <v>44388</v>
      </c>
      <c r="B195">
        <v>374671</v>
      </c>
      <c r="C195">
        <f t="shared" si="38"/>
        <v>0</v>
      </c>
      <c r="D195">
        <f t="shared" si="39"/>
        <v>711</v>
      </c>
      <c r="E195">
        <v>1638173</v>
      </c>
      <c r="F195">
        <f t="shared" si="34"/>
        <v>1186193</v>
      </c>
      <c r="G195">
        <f t="shared" si="35"/>
        <v>150.71428571428572</v>
      </c>
      <c r="H195">
        <f t="shared" si="36"/>
        <v>0.57167437444812852</v>
      </c>
      <c r="I195">
        <f t="shared" si="37"/>
        <v>2.2618578932770638E-3</v>
      </c>
      <c r="K195">
        <f t="shared" si="44"/>
        <v>1137075.8075477709</v>
      </c>
      <c r="L195">
        <f t="shared" si="45"/>
        <v>2621.9969059863606</v>
      </c>
      <c r="M195">
        <f t="shared" si="43"/>
        <v>382387.99158362992</v>
      </c>
      <c r="N195">
        <f t="shared" si="46"/>
        <v>1582947.0558624251</v>
      </c>
    </row>
    <row r="196" spans="1:14" x14ac:dyDescent="0.25">
      <c r="A196" s="1">
        <v>44389</v>
      </c>
      <c r="B196">
        <v>374671</v>
      </c>
      <c r="C196">
        <f t="shared" si="38"/>
        <v>0</v>
      </c>
      <c r="D196">
        <f t="shared" si="39"/>
        <v>617</v>
      </c>
      <c r="E196">
        <v>1640856</v>
      </c>
      <c r="F196">
        <f t="shared" si="34"/>
        <v>1183510</v>
      </c>
      <c r="G196">
        <f t="shared" si="35"/>
        <v>150.71428571428572</v>
      </c>
      <c r="H196">
        <f t="shared" si="36"/>
        <v>0.66026243151459119</v>
      </c>
      <c r="I196">
        <f t="shared" si="37"/>
        <v>3.5572154016442613E-4</v>
      </c>
      <c r="K196">
        <f t="shared" si="44"/>
        <v>1134870.9585733714</v>
      </c>
      <c r="L196">
        <f t="shared" si="45"/>
        <v>2749.005537556664</v>
      </c>
      <c r="M196">
        <f t="shared" si="43"/>
        <v>382650.19127422856</v>
      </c>
      <c r="N196">
        <f t="shared" si="46"/>
        <v>1584762.6965146556</v>
      </c>
    </row>
    <row r="197" spans="1:14" x14ac:dyDescent="0.25">
      <c r="A197" s="1">
        <v>44390</v>
      </c>
      <c r="B197">
        <v>374948</v>
      </c>
      <c r="C197">
        <f t="shared" si="38"/>
        <v>277</v>
      </c>
      <c r="D197">
        <f t="shared" si="39"/>
        <v>828</v>
      </c>
      <c r="E197">
        <v>1641277</v>
      </c>
      <c r="F197">
        <f t="shared" ref="F197:F260" si="47">$B$1-(B197+E197)</f>
        <v>1182812</v>
      </c>
      <c r="G197">
        <f t="shared" ref="G197:G260" si="48">AVERAGE(C197:C203)</f>
        <v>150.71428571428572</v>
      </c>
      <c r="H197">
        <f t="shared" ref="H197:H260" si="49">(G197*$B$1)/(F197*D197)</f>
        <v>0.49229749288991864</v>
      </c>
      <c r="I197">
        <f t="shared" ref="I197:I260" si="50">(E198-E197)/F197</f>
        <v>1.2233558672045937E-3</v>
      </c>
      <c r="K197">
        <f t="shared" si="44"/>
        <v>1132651.5683549345</v>
      </c>
      <c r="L197">
        <f t="shared" si="45"/>
        <v>2881.3751714151294</v>
      </c>
      <c r="M197">
        <f t="shared" si="43"/>
        <v>382925.09182798426</v>
      </c>
      <c r="N197">
        <f t="shared" si="46"/>
        <v>1586574.8165454785</v>
      </c>
    </row>
    <row r="198" spans="1:14" x14ac:dyDescent="0.25">
      <c r="A198" s="1">
        <v>44391</v>
      </c>
      <c r="B198">
        <v>375278</v>
      </c>
      <c r="C198">
        <f t="shared" ref="C198:C261" si="51">B198-B197</f>
        <v>330</v>
      </c>
      <c r="D198">
        <f t="shared" si="39"/>
        <v>1098</v>
      </c>
      <c r="E198">
        <v>1642724</v>
      </c>
      <c r="F198">
        <f t="shared" si="47"/>
        <v>1181035</v>
      </c>
      <c r="G198">
        <f t="shared" si="48"/>
        <v>178.57142857142858</v>
      </c>
      <c r="H198">
        <f t="shared" si="49"/>
        <v>0.44052050448114421</v>
      </c>
      <c r="I198">
        <f t="shared" si="50"/>
        <v>1.4224811288403815E-3</v>
      </c>
      <c r="K198">
        <f t="shared" si="44"/>
        <v>1130416.9459962028</v>
      </c>
      <c r="L198">
        <f t="shared" si="45"/>
        <v>3019.2838225110063</v>
      </c>
      <c r="M198">
        <f t="shared" si="43"/>
        <v>383213.22934512579</v>
      </c>
      <c r="N198">
        <f t="shared" si="46"/>
        <v>1588383.3927359728</v>
      </c>
    </row>
    <row r="199" spans="1:14" x14ac:dyDescent="0.25">
      <c r="A199" s="1">
        <v>44392</v>
      </c>
      <c r="B199">
        <v>375321</v>
      </c>
      <c r="C199">
        <f t="shared" si="51"/>
        <v>43</v>
      </c>
      <c r="D199">
        <f t="shared" si="39"/>
        <v>1114</v>
      </c>
      <c r="E199">
        <v>1644404</v>
      </c>
      <c r="F199">
        <f t="shared" si="47"/>
        <v>1179312</v>
      </c>
      <c r="G199">
        <f t="shared" si="48"/>
        <v>199.28571428571428</v>
      </c>
      <c r="H199">
        <f t="shared" si="49"/>
        <v>0.48526785319560672</v>
      </c>
      <c r="I199">
        <f t="shared" si="50"/>
        <v>2.1665174271100437E-3</v>
      </c>
      <c r="K199">
        <f t="shared" si="44"/>
        <v>1128166.3811202517</v>
      </c>
      <c r="L199">
        <f t="shared" si="45"/>
        <v>3162.9122881646203</v>
      </c>
      <c r="M199">
        <f t="shared" si="43"/>
        <v>383515.15772737691</v>
      </c>
      <c r="N199">
        <f t="shared" si="46"/>
        <v>1590188.400764019</v>
      </c>
    </row>
    <row r="200" spans="1:14" x14ac:dyDescent="0.25">
      <c r="A200" s="1">
        <v>44393</v>
      </c>
      <c r="B200">
        <v>375321</v>
      </c>
      <c r="C200">
        <f t="shared" si="51"/>
        <v>0</v>
      </c>
      <c r="D200">
        <f t="shared" si="39"/>
        <v>1036</v>
      </c>
      <c r="E200">
        <v>1646959</v>
      </c>
      <c r="F200">
        <f t="shared" si="47"/>
        <v>1176757</v>
      </c>
      <c r="G200">
        <f t="shared" si="48"/>
        <v>200.71428571428572</v>
      </c>
      <c r="H200">
        <f t="shared" si="49"/>
        <v>0.52668506275340876</v>
      </c>
      <c r="I200">
        <f t="shared" si="50"/>
        <v>1.6630451316626967E-3</v>
      </c>
      <c r="K200">
        <f t="shared" si="44"/>
        <v>1125899.1438207447</v>
      </c>
      <c r="L200">
        <f t="shared" si="45"/>
        <v>3312.4439496793757</v>
      </c>
      <c r="M200">
        <f t="shared" si="43"/>
        <v>383831.44895619334</v>
      </c>
      <c r="N200">
        <f t="shared" si="46"/>
        <v>1591989.8151731947</v>
      </c>
    </row>
    <row r="201" spans="1:14" x14ac:dyDescent="0.25">
      <c r="A201" s="1">
        <v>44394</v>
      </c>
      <c r="B201">
        <v>375726</v>
      </c>
      <c r="C201">
        <f t="shared" si="51"/>
        <v>405</v>
      </c>
      <c r="D201">
        <f t="shared" si="39"/>
        <v>1345</v>
      </c>
      <c r="E201">
        <v>1648916</v>
      </c>
      <c r="F201">
        <f t="shared" si="47"/>
        <v>1174395</v>
      </c>
      <c r="G201">
        <f t="shared" si="48"/>
        <v>200.71428571428572</v>
      </c>
      <c r="H201">
        <f t="shared" si="49"/>
        <v>0.40650048630026808</v>
      </c>
      <c r="I201">
        <f t="shared" si="50"/>
        <v>6.8120181029381079E-5</v>
      </c>
      <c r="K201">
        <f t="shared" si="44"/>
        <v>1123614.4846571637</v>
      </c>
      <c r="L201">
        <f t="shared" si="45"/>
        <v>3468.0645498973086</v>
      </c>
      <c r="M201">
        <f t="shared" si="43"/>
        <v>384162.69335116126</v>
      </c>
      <c r="N201">
        <f t="shared" si="46"/>
        <v>1593787.6093415897</v>
      </c>
    </row>
    <row r="202" spans="1:14" x14ac:dyDescent="0.25">
      <c r="A202" s="1">
        <v>44395</v>
      </c>
      <c r="B202">
        <v>375726</v>
      </c>
      <c r="C202">
        <f t="shared" si="51"/>
        <v>0</v>
      </c>
      <c r="D202">
        <f t="shared" si="39"/>
        <v>1345</v>
      </c>
      <c r="E202">
        <v>1648996</v>
      </c>
      <c r="F202">
        <f t="shared" si="47"/>
        <v>1174315</v>
      </c>
      <c r="G202">
        <f t="shared" si="48"/>
        <v>224.85714285714286</v>
      </c>
      <c r="H202">
        <f t="shared" si="49"/>
        <v>0.45542729812210903</v>
      </c>
      <c r="I202">
        <f t="shared" si="50"/>
        <v>8.5156027130710245E-5</v>
      </c>
      <c r="K202">
        <f t="shared" si="44"/>
        <v>1121311.6346977495</v>
      </c>
      <c r="L202">
        <f t="shared" si="45"/>
        <v>3629.9619452964666</v>
      </c>
      <c r="M202">
        <f t="shared" si="43"/>
        <v>384509.49980615097</v>
      </c>
      <c r="N202">
        <f t="shared" si="46"/>
        <v>1595581.755450615</v>
      </c>
    </row>
    <row r="203" spans="1:14" x14ac:dyDescent="0.25">
      <c r="A203" s="1">
        <v>44396</v>
      </c>
      <c r="B203">
        <v>375726</v>
      </c>
      <c r="C203">
        <f t="shared" si="51"/>
        <v>0</v>
      </c>
      <c r="D203">
        <f t="shared" si="39"/>
        <v>1345</v>
      </c>
      <c r="E203">
        <v>1649096</v>
      </c>
      <c r="F203">
        <f t="shared" si="47"/>
        <v>1174215</v>
      </c>
      <c r="G203">
        <f t="shared" si="48"/>
        <v>224.85714285714286</v>
      </c>
      <c r="H203">
        <f t="shared" si="49"/>
        <v>0.45546608380429859</v>
      </c>
      <c r="I203">
        <f t="shared" si="50"/>
        <v>3.7080091806015081E-3</v>
      </c>
      <c r="K203">
        <f t="shared" si="44"/>
        <v>1118989.8056140461</v>
      </c>
      <c r="L203">
        <f t="shared" si="45"/>
        <v>3798.3258312057028</v>
      </c>
      <c r="M203">
        <f t="shared" si="43"/>
        <v>384872.49600068061</v>
      </c>
      <c r="N203">
        <f t="shared" si="46"/>
        <v>1597372.2244538795</v>
      </c>
    </row>
    <row r="204" spans="1:14" x14ac:dyDescent="0.25">
      <c r="A204" s="1">
        <v>44397</v>
      </c>
      <c r="B204">
        <v>376198</v>
      </c>
      <c r="C204">
        <f t="shared" si="51"/>
        <v>472</v>
      </c>
      <c r="D204">
        <f t="shared" si="39"/>
        <v>1527</v>
      </c>
      <c r="E204">
        <v>1653450</v>
      </c>
      <c r="F204">
        <f t="shared" si="47"/>
        <v>1169389</v>
      </c>
      <c r="G204">
        <f t="shared" si="48"/>
        <v>224.85714285714286</v>
      </c>
      <c r="H204">
        <f t="shared" si="49"/>
        <v>0.40283566133125159</v>
      </c>
      <c r="I204">
        <f t="shared" si="50"/>
        <v>1.5426859667741018E-3</v>
      </c>
      <c r="K204">
        <f t="shared" si="44"/>
        <v>1116648.189831096</v>
      </c>
      <c r="L204">
        <f t="shared" si="45"/>
        <v>3973.3474386961798</v>
      </c>
      <c r="M204">
        <f t="shared" si="43"/>
        <v>385252.32858380117</v>
      </c>
      <c r="N204">
        <f t="shared" si="46"/>
        <v>1599158.9860462185</v>
      </c>
    </row>
    <row r="205" spans="1:14" x14ac:dyDescent="0.25">
      <c r="A205" s="1">
        <v>44398</v>
      </c>
      <c r="B205">
        <v>376673</v>
      </c>
      <c r="C205">
        <f t="shared" si="51"/>
        <v>475</v>
      </c>
      <c r="D205">
        <f t="shared" si="39"/>
        <v>2002</v>
      </c>
      <c r="E205">
        <v>1655254</v>
      </c>
      <c r="F205">
        <f t="shared" si="47"/>
        <v>1167110</v>
      </c>
      <c r="G205">
        <f t="shared" si="48"/>
        <v>241.14285714285714</v>
      </c>
      <c r="H205">
        <f t="shared" si="49"/>
        <v>0.33015494170116638</v>
      </c>
      <c r="I205">
        <f t="shared" si="50"/>
        <v>2.2414339693773511E-3</v>
      </c>
      <c r="K205">
        <f t="shared" si="44"/>
        <v>1114285.9607374794</v>
      </c>
      <c r="L205">
        <f t="shared" si="45"/>
        <v>4155.219201699947</v>
      </c>
      <c r="M205">
        <f t="shared" si="43"/>
        <v>385649.66332767077</v>
      </c>
      <c r="N205">
        <f t="shared" si="46"/>
        <v>1600942.0086329617</v>
      </c>
    </row>
    <row r="206" spans="1:14" x14ac:dyDescent="0.25">
      <c r="A206" s="1">
        <v>44399</v>
      </c>
      <c r="B206">
        <v>376726</v>
      </c>
      <c r="C206">
        <f t="shared" si="51"/>
        <v>53</v>
      </c>
      <c r="D206">
        <f t="shared" ref="D206:D269" si="52">SUM(C197:C206)</f>
        <v>2055</v>
      </c>
      <c r="E206">
        <v>1657870</v>
      </c>
      <c r="F206">
        <f t="shared" si="47"/>
        <v>1164441</v>
      </c>
      <c r="G206">
        <f t="shared" si="48"/>
        <v>308.28571428571428</v>
      </c>
      <c r="H206">
        <f t="shared" si="49"/>
        <v>0.41213865429857494</v>
      </c>
      <c r="I206">
        <f t="shared" si="50"/>
        <v>2.3058274313597685E-3</v>
      </c>
      <c r="K206">
        <f t="shared" si="44"/>
        <v>1111902.2729595297</v>
      </c>
      <c r="L206">
        <f t="shared" si="45"/>
        <v>4344.1343929054938</v>
      </c>
      <c r="M206">
        <f t="shared" si="43"/>
        <v>386065.18524784077</v>
      </c>
      <c r="N206">
        <f t="shared" si="46"/>
        <v>1602721.2592995358</v>
      </c>
    </row>
    <row r="207" spans="1:14" x14ac:dyDescent="0.25">
      <c r="A207" s="1">
        <v>44400</v>
      </c>
      <c r="B207">
        <v>376726</v>
      </c>
      <c r="C207">
        <f t="shared" si="51"/>
        <v>0</v>
      </c>
      <c r="D207">
        <f t="shared" si="52"/>
        <v>1778</v>
      </c>
      <c r="E207">
        <v>1660555</v>
      </c>
      <c r="F207">
        <f t="shared" si="47"/>
        <v>1161756</v>
      </c>
      <c r="G207">
        <f t="shared" si="48"/>
        <v>312.85714285714283</v>
      </c>
      <c r="H207">
        <f t="shared" si="49"/>
        <v>0.48452775235191642</v>
      </c>
      <c r="I207">
        <f t="shared" si="50"/>
        <v>2.4101446431092242E-3</v>
      </c>
      <c r="K207">
        <f t="shared" si="44"/>
        <v>1109496.2627041847</v>
      </c>
      <c r="L207">
        <f t="shared" si="45"/>
        <v>4540.2867269892995</v>
      </c>
      <c r="M207">
        <f t="shared" si="43"/>
        <v>386499.59868713131</v>
      </c>
      <c r="N207">
        <f t="shared" si="46"/>
        <v>1604496.7037815063</v>
      </c>
    </row>
    <row r="208" spans="1:14" x14ac:dyDescent="0.25">
      <c r="A208" s="1">
        <v>44401</v>
      </c>
      <c r="B208">
        <v>377300</v>
      </c>
      <c r="C208">
        <f t="shared" si="51"/>
        <v>574</v>
      </c>
      <c r="D208">
        <f t="shared" si="52"/>
        <v>2022</v>
      </c>
      <c r="E208">
        <v>1663355</v>
      </c>
      <c r="F208">
        <f t="shared" si="47"/>
        <v>1158382</v>
      </c>
      <c r="G208">
        <f t="shared" si="48"/>
        <v>312.85714285714283</v>
      </c>
      <c r="H208">
        <f t="shared" si="49"/>
        <v>0.42729950162633801</v>
      </c>
      <c r="I208">
        <f t="shared" si="50"/>
        <v>1.0359276991527838E-4</v>
      </c>
      <c r="K208">
        <f t="shared" si="44"/>
        <v>1107067.0481750532</v>
      </c>
      <c r="L208">
        <f t="shared" si="45"/>
        <v>4743.8699297623934</v>
      </c>
      <c r="M208">
        <f t="shared" si="43"/>
        <v>386953.62735983025</v>
      </c>
      <c r="N208">
        <f t="shared" si="46"/>
        <v>1606268.3064351657</v>
      </c>
    </row>
    <row r="209" spans="1:14" x14ac:dyDescent="0.25">
      <c r="A209" s="1">
        <v>44402</v>
      </c>
      <c r="B209">
        <v>377300</v>
      </c>
      <c r="C209">
        <f t="shared" si="51"/>
        <v>0</v>
      </c>
      <c r="D209">
        <f t="shared" si="52"/>
        <v>1979</v>
      </c>
      <c r="E209">
        <v>1663475</v>
      </c>
      <c r="F209">
        <f t="shared" si="47"/>
        <v>1158262</v>
      </c>
      <c r="G209">
        <f t="shared" si="48"/>
        <v>356.71428571428572</v>
      </c>
      <c r="H209">
        <f t="shared" si="49"/>
        <v>0.49783699088463046</v>
      </c>
      <c r="I209">
        <f t="shared" si="50"/>
        <v>4.3168126037114228E-5</v>
      </c>
      <c r="K209">
        <f t="shared" si="44"/>
        <v>1104613.7300663753</v>
      </c>
      <c r="L209">
        <f t="shared" si="45"/>
        <v>4955.0772718430326</v>
      </c>
      <c r="M209">
        <f t="shared" si="43"/>
        <v>387428.01435280649</v>
      </c>
      <c r="N209">
        <f t="shared" si="46"/>
        <v>1608036.0302087867</v>
      </c>
    </row>
    <row r="210" spans="1:14" x14ac:dyDescent="0.25">
      <c r="A210" s="1">
        <v>44403</v>
      </c>
      <c r="B210">
        <v>377300</v>
      </c>
      <c r="C210">
        <f t="shared" si="51"/>
        <v>0</v>
      </c>
      <c r="D210">
        <f t="shared" si="52"/>
        <v>1979</v>
      </c>
      <c r="E210">
        <v>1663525</v>
      </c>
      <c r="F210">
        <f t="shared" si="47"/>
        <v>1158212</v>
      </c>
      <c r="G210">
        <f t="shared" si="48"/>
        <v>356.71428571428572</v>
      </c>
      <c r="H210">
        <f t="shared" si="49"/>
        <v>0.49785848250235182</v>
      </c>
      <c r="I210">
        <f t="shared" si="50"/>
        <v>5.4005656995437792E-3</v>
      </c>
      <c r="K210">
        <f t="shared" si="44"/>
        <v>1102135.3921396448</v>
      </c>
      <c r="L210">
        <f t="shared" si="45"/>
        <v>5174.1010655122236</v>
      </c>
      <c r="M210">
        <f t="shared" si="43"/>
        <v>387923.52207999077</v>
      </c>
      <c r="N210">
        <f t="shared" si="46"/>
        <v>1609799.8366146637</v>
      </c>
    </row>
    <row r="211" spans="1:14" x14ac:dyDescent="0.25">
      <c r="A211" s="1">
        <v>44404</v>
      </c>
      <c r="B211">
        <v>377886</v>
      </c>
      <c r="C211">
        <f t="shared" si="51"/>
        <v>586</v>
      </c>
      <c r="D211">
        <f t="shared" si="52"/>
        <v>2160</v>
      </c>
      <c r="E211">
        <v>1669780</v>
      </c>
      <c r="F211">
        <f t="shared" si="47"/>
        <v>1151371</v>
      </c>
      <c r="G211">
        <f t="shared" si="48"/>
        <v>356.71428571428572</v>
      </c>
      <c r="H211">
        <f t="shared" si="49"/>
        <v>0.45884999131171522</v>
      </c>
      <c r="I211">
        <f t="shared" si="50"/>
        <v>2.0818658798944911E-3</v>
      </c>
      <c r="K211">
        <f t="shared" si="44"/>
        <v>1099631.1018877248</v>
      </c>
      <c r="L211">
        <f t="shared" si="45"/>
        <v>5401.1321234693751</v>
      </c>
      <c r="M211">
        <f t="shared" si="43"/>
        <v>388440.93218654202</v>
      </c>
      <c r="N211">
        <f t="shared" si="46"/>
        <v>1611559.6857020753</v>
      </c>
    </row>
    <row r="212" spans="1:14" x14ac:dyDescent="0.25">
      <c r="A212" s="1">
        <v>44405</v>
      </c>
      <c r="B212">
        <v>378831</v>
      </c>
      <c r="C212">
        <f t="shared" si="51"/>
        <v>945</v>
      </c>
      <c r="D212">
        <f t="shared" si="52"/>
        <v>3105</v>
      </c>
      <c r="E212">
        <v>1672177</v>
      </c>
      <c r="F212">
        <f t="shared" si="47"/>
        <v>1148029</v>
      </c>
      <c r="G212">
        <f t="shared" si="48"/>
        <v>460.57142857142856</v>
      </c>
      <c r="H212">
        <f t="shared" si="49"/>
        <v>0.4133346301138684</v>
      </c>
      <c r="I212">
        <f t="shared" si="50"/>
        <v>2.6654378939904829E-3</v>
      </c>
      <c r="K212">
        <f t="shared" si="44"/>
        <v>1097099.9112913329</v>
      </c>
      <c r="L212">
        <f t="shared" si="45"/>
        <v>5636.3591782823733</v>
      </c>
      <c r="M212">
        <f t="shared" si="43"/>
        <v>388981.04539888893</v>
      </c>
      <c r="N212">
        <f t="shared" si="46"/>
        <v>1613315.5360313072</v>
      </c>
    </row>
    <row r="213" spans="1:14" x14ac:dyDescent="0.25">
      <c r="A213" s="1">
        <v>44406</v>
      </c>
      <c r="B213">
        <v>378916</v>
      </c>
      <c r="C213">
        <f t="shared" si="51"/>
        <v>85</v>
      </c>
      <c r="D213">
        <f t="shared" si="52"/>
        <v>3190</v>
      </c>
      <c r="E213">
        <v>1675237</v>
      </c>
      <c r="F213">
        <f t="shared" si="47"/>
        <v>1144884</v>
      </c>
      <c r="G213">
        <f t="shared" si="48"/>
        <v>510</v>
      </c>
      <c r="H213">
        <f t="shared" si="49"/>
        <v>0.44672192714183778</v>
      </c>
      <c r="I213">
        <f t="shared" si="50"/>
        <v>2.8946163978184687E-3</v>
      </c>
      <c r="K213">
        <f t="shared" si="44"/>
        <v>1094540.8576727901</v>
      </c>
      <c r="L213">
        <f t="shared" si="45"/>
        <v>5879.9682614213089</v>
      </c>
      <c r="M213">
        <f t="shared" si="43"/>
        <v>389544.68131671718</v>
      </c>
      <c r="N213">
        <f t="shared" si="46"/>
        <v>1615067.344648883</v>
      </c>
    </row>
    <row r="214" spans="1:14" x14ac:dyDescent="0.25">
      <c r="A214" s="1">
        <v>44407</v>
      </c>
      <c r="B214">
        <v>378916</v>
      </c>
      <c r="C214">
        <f t="shared" si="51"/>
        <v>0</v>
      </c>
      <c r="D214">
        <f t="shared" si="52"/>
        <v>2718</v>
      </c>
      <c r="E214">
        <v>1678551</v>
      </c>
      <c r="F214">
        <f t="shared" si="47"/>
        <v>1141570</v>
      </c>
      <c r="G214">
        <f t="shared" si="48"/>
        <v>497.85714285714283</v>
      </c>
      <c r="H214">
        <f t="shared" si="49"/>
        <v>0.51330087668153102</v>
      </c>
      <c r="I214">
        <f t="shared" si="50"/>
        <v>2.1706947449565074E-3</v>
      </c>
      <c r="K214">
        <f t="shared" si="44"/>
        <v>1091952.964651915</v>
      </c>
      <c r="L214">
        <f t="shared" si="45"/>
        <v>6132.1420408796057</v>
      </c>
      <c r="M214">
        <f t="shared" si="43"/>
        <v>390132.67814285931</v>
      </c>
      <c r="N214">
        <f t="shared" si="46"/>
        <v>1616815.0670641577</v>
      </c>
    </row>
    <row r="215" spans="1:14" x14ac:dyDescent="0.25">
      <c r="A215" s="1">
        <v>44408</v>
      </c>
      <c r="B215">
        <v>379797</v>
      </c>
      <c r="C215">
        <f t="shared" si="51"/>
        <v>881</v>
      </c>
      <c r="D215">
        <f t="shared" si="52"/>
        <v>3124</v>
      </c>
      <c r="E215">
        <v>1681029</v>
      </c>
      <c r="F215">
        <f t="shared" si="47"/>
        <v>1138211</v>
      </c>
      <c r="G215">
        <f t="shared" si="48"/>
        <v>497.85714285714283</v>
      </c>
      <c r="H215">
        <f t="shared" si="49"/>
        <v>0.44790942590429467</v>
      </c>
      <c r="I215">
        <f t="shared" si="50"/>
        <v>1.4408576265736317E-4</v>
      </c>
      <c r="K215">
        <f t="shared" si="44"/>
        <v>1089335.2432089034</v>
      </c>
      <c r="L215">
        <f t="shared" si="45"/>
        <v>6393.0591165218875</v>
      </c>
      <c r="M215">
        <f t="shared" si="43"/>
        <v>390745.89234694728</v>
      </c>
      <c r="N215">
        <f t="shared" si="46"/>
        <v>1618558.6572274391</v>
      </c>
    </row>
    <row r="216" spans="1:14" x14ac:dyDescent="0.25">
      <c r="A216" s="1">
        <v>44409</v>
      </c>
      <c r="B216">
        <v>379797</v>
      </c>
      <c r="C216">
        <f t="shared" si="51"/>
        <v>0</v>
      </c>
      <c r="D216">
        <f t="shared" si="52"/>
        <v>3071</v>
      </c>
      <c r="E216">
        <v>1681193</v>
      </c>
      <c r="F216">
        <f t="shared" si="47"/>
        <v>1138047</v>
      </c>
      <c r="G216">
        <f t="shared" si="48"/>
        <v>600</v>
      </c>
      <c r="H216">
        <f t="shared" si="49"/>
        <v>0.5491999623798085</v>
      </c>
      <c r="I216">
        <f t="shared" si="50"/>
        <v>7.55680565038175E-5</v>
      </c>
      <c r="K216">
        <f>K215-($R$11*K215*L215/$B$1)-($S$11*K215)</f>
        <v>1085323.6296036236</v>
      </c>
      <c r="L216">
        <f>L215+($R$11*K215*L215/$B$1)-(L215/10)</f>
        <v>6605.3230571450995</v>
      </c>
      <c r="M216">
        <f t="shared" si="43"/>
        <v>391385.19825859944</v>
      </c>
      <c r="N216">
        <f>N215+($S$11*K215)</f>
        <v>1621718.7009804435</v>
      </c>
    </row>
    <row r="217" spans="1:14" x14ac:dyDescent="0.25">
      <c r="A217" s="1">
        <v>44410</v>
      </c>
      <c r="B217">
        <v>379797</v>
      </c>
      <c r="C217">
        <f t="shared" si="51"/>
        <v>0</v>
      </c>
      <c r="D217">
        <f t="shared" si="52"/>
        <v>3071</v>
      </c>
      <c r="E217">
        <v>1681279</v>
      </c>
      <c r="F217">
        <f t="shared" si="47"/>
        <v>1137961</v>
      </c>
      <c r="G217">
        <f t="shared" si="48"/>
        <v>600</v>
      </c>
      <c r="H217">
        <f t="shared" si="49"/>
        <v>0.54924146749005798</v>
      </c>
      <c r="I217">
        <f t="shared" si="50"/>
        <v>7.0063912559393511E-3</v>
      </c>
      <c r="K217">
        <f t="shared" ref="K217:K246" si="53">K216-($R$11*K216*L216/$B$1)-($S$11*K216)</f>
        <v>1081298.6193567938</v>
      </c>
      <c r="L217">
        <f t="shared" ref="L217:L246" si="54">L216+($R$11*K216*L216/$B$1)-(L216/10)</f>
        <v>6821.3945025574185</v>
      </c>
      <c r="M217">
        <f t="shared" si="43"/>
        <v>392045.73056431394</v>
      </c>
      <c r="N217">
        <f t="shared" ref="N217:N246" si="55">N216+($S$11*K216)</f>
        <v>1624867.1074761464</v>
      </c>
    </row>
    <row r="218" spans="1:14" x14ac:dyDescent="0.25">
      <c r="A218" s="1">
        <v>44411</v>
      </c>
      <c r="B218">
        <v>381110</v>
      </c>
      <c r="C218">
        <f t="shared" si="51"/>
        <v>1313</v>
      </c>
      <c r="D218">
        <f t="shared" si="52"/>
        <v>3810</v>
      </c>
      <c r="E218">
        <v>1689252</v>
      </c>
      <c r="F218">
        <f t="shared" si="47"/>
        <v>1128675</v>
      </c>
      <c r="G218">
        <f t="shared" si="48"/>
        <v>600</v>
      </c>
      <c r="H218">
        <f t="shared" si="49"/>
        <v>0.44635112351271061</v>
      </c>
      <c r="I218">
        <f t="shared" si="50"/>
        <v>2.7235475225374887E-3</v>
      </c>
      <c r="K218">
        <f t="shared" si="53"/>
        <v>1077259.9673174634</v>
      </c>
      <c r="L218">
        <f t="shared" si="54"/>
        <v>7041.1767154393565</v>
      </c>
      <c r="M218">
        <f t="shared" si="43"/>
        <v>392727.87001456966</v>
      </c>
      <c r="N218">
        <f t="shared" si="55"/>
        <v>1628003.8378523393</v>
      </c>
    </row>
    <row r="219" spans="1:14" x14ac:dyDescent="0.25">
      <c r="A219" s="1">
        <v>44412</v>
      </c>
      <c r="B219">
        <v>382401</v>
      </c>
      <c r="C219">
        <f t="shared" si="51"/>
        <v>1291</v>
      </c>
      <c r="D219">
        <f t="shared" si="52"/>
        <v>5101</v>
      </c>
      <c r="E219">
        <v>1692326</v>
      </c>
      <c r="F219">
        <f t="shared" si="47"/>
        <v>1124310</v>
      </c>
      <c r="G219">
        <f t="shared" si="48"/>
        <v>635.14285714285711</v>
      </c>
      <c r="H219">
        <f t="shared" si="49"/>
        <v>0.35428216056344991</v>
      </c>
      <c r="I219">
        <f t="shared" si="50"/>
        <v>3.6626908948599584E-3</v>
      </c>
      <c r="K219">
        <f t="shared" si="53"/>
        <v>1073207.4486833995</v>
      </c>
      <c r="L219">
        <f t="shared" si="54"/>
        <v>7264.5629946416257</v>
      </c>
      <c r="M219">
        <f t="shared" si="43"/>
        <v>393431.98768611357</v>
      </c>
      <c r="N219">
        <f t="shared" si="55"/>
        <v>1631128.8525356569</v>
      </c>
    </row>
    <row r="220" spans="1:14" x14ac:dyDescent="0.25">
      <c r="A220" s="1">
        <v>44413</v>
      </c>
      <c r="B220">
        <v>382401</v>
      </c>
      <c r="C220">
        <f t="shared" si="51"/>
        <v>0</v>
      </c>
      <c r="D220">
        <f t="shared" si="52"/>
        <v>5101</v>
      </c>
      <c r="E220">
        <v>1696444</v>
      </c>
      <c r="F220">
        <f t="shared" si="47"/>
        <v>1120192</v>
      </c>
      <c r="G220">
        <f t="shared" si="48"/>
        <v>696</v>
      </c>
      <c r="H220">
        <f t="shared" si="49"/>
        <v>0.38965541186022129</v>
      </c>
      <c r="I220">
        <f t="shared" si="50"/>
        <v>3.3833485688167741E-3</v>
      </c>
      <c r="K220">
        <f t="shared" si="53"/>
        <v>1069140.8601040337</v>
      </c>
      <c r="L220">
        <f t="shared" si="54"/>
        <v>7491.4365095925959</v>
      </c>
      <c r="M220">
        <f t="shared" si="43"/>
        <v>394158.44398557773</v>
      </c>
      <c r="N220">
        <f t="shared" si="55"/>
        <v>1634242.1113006074</v>
      </c>
    </row>
    <row r="221" spans="1:14" x14ac:dyDescent="0.25">
      <c r="A221" s="1">
        <v>44414</v>
      </c>
      <c r="B221">
        <v>382401</v>
      </c>
      <c r="C221">
        <f t="shared" si="51"/>
        <v>0</v>
      </c>
      <c r="D221">
        <f t="shared" si="52"/>
        <v>4515</v>
      </c>
      <c r="E221">
        <v>1700234</v>
      </c>
      <c r="F221">
        <f t="shared" si="47"/>
        <v>1116402</v>
      </c>
      <c r="G221">
        <f t="shared" si="48"/>
        <v>696</v>
      </c>
      <c r="H221">
        <f t="shared" si="49"/>
        <v>0.44172313143062741</v>
      </c>
      <c r="I221">
        <f t="shared" si="50"/>
        <v>4.1060478214836587E-3</v>
      </c>
      <c r="K221">
        <f t="shared" si="53"/>
        <v>1065060.0207727202</v>
      </c>
      <c r="L221">
        <f t="shared" si="54"/>
        <v>7721.6701587532034</v>
      </c>
      <c r="M221">
        <f t="shared" si="43"/>
        <v>394907.58763653698</v>
      </c>
      <c r="N221">
        <f t="shared" si="55"/>
        <v>1637343.573331801</v>
      </c>
    </row>
    <row r="222" spans="1:14" x14ac:dyDescent="0.25">
      <c r="A222" s="1">
        <v>44415</v>
      </c>
      <c r="B222">
        <v>383997</v>
      </c>
      <c r="C222">
        <f t="shared" si="51"/>
        <v>1596</v>
      </c>
      <c r="D222">
        <f t="shared" si="52"/>
        <v>5166</v>
      </c>
      <c r="E222">
        <v>1704818</v>
      </c>
      <c r="F222">
        <f t="shared" si="47"/>
        <v>1110222</v>
      </c>
      <c r="G222">
        <f t="shared" si="48"/>
        <v>696</v>
      </c>
      <c r="H222">
        <f t="shared" si="49"/>
        <v>0.38820781323012582</v>
      </c>
      <c r="I222">
        <f t="shared" si="50"/>
        <v>9.9980003999200156E-5</v>
      </c>
      <c r="K222">
        <f t="shared" si="53"/>
        <v>1060964.7735040875</v>
      </c>
      <c r="L222">
        <f t="shared" si="54"/>
        <v>7955.1264539645235</v>
      </c>
      <c r="M222">
        <f t="shared" si="43"/>
        <v>395679.75465241232</v>
      </c>
      <c r="N222">
        <f t="shared" si="55"/>
        <v>1640433.1972893472</v>
      </c>
    </row>
    <row r="223" spans="1:14" x14ac:dyDescent="0.25">
      <c r="A223" s="1">
        <v>44416</v>
      </c>
      <c r="B223">
        <v>383997</v>
      </c>
      <c r="C223">
        <f t="shared" si="51"/>
        <v>0</v>
      </c>
      <c r="D223">
        <f t="shared" si="52"/>
        <v>5081</v>
      </c>
      <c r="E223">
        <v>1704929</v>
      </c>
      <c r="F223">
        <f t="shared" si="47"/>
        <v>1110111</v>
      </c>
      <c r="G223">
        <f t="shared" si="48"/>
        <v>746.57142857142856</v>
      </c>
      <c r="H223">
        <f t="shared" si="49"/>
        <v>0.42342356811744353</v>
      </c>
      <c r="I223">
        <f t="shared" si="50"/>
        <v>1.3422081215301893E-4</v>
      </c>
      <c r="K223">
        <f t="shared" si="53"/>
        <v>1056854.9857921137</v>
      </c>
      <c r="L223">
        <f t="shared" si="54"/>
        <v>8191.6574325113916</v>
      </c>
      <c r="M223">
        <f t="shared" si="43"/>
        <v>396475.26729780878</v>
      </c>
      <c r="N223">
        <f t="shared" si="55"/>
        <v>1643510.9413773776</v>
      </c>
    </row>
    <row r="224" spans="1:14" x14ac:dyDescent="0.25">
      <c r="A224" s="1">
        <v>44417</v>
      </c>
      <c r="B224">
        <v>383997</v>
      </c>
      <c r="C224">
        <f t="shared" si="51"/>
        <v>0</v>
      </c>
      <c r="D224">
        <f t="shared" si="52"/>
        <v>5081</v>
      </c>
      <c r="E224">
        <v>1705078</v>
      </c>
      <c r="F224">
        <f t="shared" si="47"/>
        <v>1109962</v>
      </c>
      <c r="G224">
        <f t="shared" si="48"/>
        <v>746.57142857142856</v>
      </c>
      <c r="H224">
        <f t="shared" si="49"/>
        <v>0.42348040800173642</v>
      </c>
      <c r="I224">
        <f t="shared" si="50"/>
        <v>8.1795593002282965E-3</v>
      </c>
      <c r="K224">
        <f t="shared" si="53"/>
        <v>1052730.5508444228</v>
      </c>
      <c r="L224">
        <f t="shared" si="54"/>
        <v>8431.1045986904046</v>
      </c>
      <c r="M224">
        <f t="shared" si="43"/>
        <v>397294.43304105994</v>
      </c>
      <c r="N224">
        <f t="shared" si="55"/>
        <v>1646576.7634156384</v>
      </c>
    </row>
    <row r="225" spans="1:14" x14ac:dyDescent="0.25">
      <c r="A225" s="1">
        <v>44418</v>
      </c>
      <c r="B225">
        <v>385556</v>
      </c>
      <c r="C225">
        <f t="shared" si="51"/>
        <v>1559</v>
      </c>
      <c r="D225">
        <f t="shared" si="52"/>
        <v>5759</v>
      </c>
      <c r="E225">
        <v>1714157</v>
      </c>
      <c r="F225">
        <f t="shared" si="47"/>
        <v>1099324</v>
      </c>
      <c r="G225">
        <f t="shared" si="48"/>
        <v>746.57142857142856</v>
      </c>
      <c r="H225">
        <f t="shared" si="49"/>
        <v>0.37724009068873637</v>
      </c>
      <c r="I225">
        <f t="shared" si="50"/>
        <v>2.8635779806499267E-3</v>
      </c>
      <c r="K225">
        <f t="shared" si="53"/>
        <v>1048591.3885881784</v>
      </c>
      <c r="L225">
        <f t="shared" si="54"/>
        <v>8673.2988966216908</v>
      </c>
      <c r="M225">
        <f t="shared" si="43"/>
        <v>398137.54350092896</v>
      </c>
      <c r="N225">
        <f t="shared" si="55"/>
        <v>1649630.6209140823</v>
      </c>
    </row>
    <row r="226" spans="1:14" x14ac:dyDescent="0.25">
      <c r="A226" s="1">
        <v>44419</v>
      </c>
      <c r="B226">
        <v>387273</v>
      </c>
      <c r="C226">
        <f t="shared" si="51"/>
        <v>1717</v>
      </c>
      <c r="D226">
        <f t="shared" si="52"/>
        <v>7476</v>
      </c>
      <c r="E226">
        <v>1717305</v>
      </c>
      <c r="F226">
        <f t="shared" si="47"/>
        <v>1094459</v>
      </c>
      <c r="G226">
        <f t="shared" si="48"/>
        <v>774.57142857142856</v>
      </c>
      <c r="H226">
        <f t="shared" si="49"/>
        <v>0.30283909994209762</v>
      </c>
      <c r="I226">
        <f t="shared" si="50"/>
        <v>1.8365237985159791E-3</v>
      </c>
      <c r="K226">
        <f t="shared" si="53"/>
        <v>1044437.4466428601</v>
      </c>
      <c r="L226">
        <f t="shared" si="54"/>
        <v>8918.0607159803512</v>
      </c>
      <c r="M226">
        <f t="shared" si="43"/>
        <v>399004.87339059112</v>
      </c>
      <c r="N226">
        <f t="shared" si="55"/>
        <v>1652672.4711503799</v>
      </c>
    </row>
    <row r="227" spans="1:14" x14ac:dyDescent="0.25">
      <c r="A227" s="1">
        <v>44420</v>
      </c>
      <c r="B227">
        <v>387273</v>
      </c>
      <c r="C227">
        <f t="shared" si="51"/>
        <v>0</v>
      </c>
      <c r="D227">
        <f t="shared" si="52"/>
        <v>7476</v>
      </c>
      <c r="E227">
        <v>1719315</v>
      </c>
      <c r="F227">
        <f t="shared" si="47"/>
        <v>1092449</v>
      </c>
      <c r="G227">
        <f t="shared" si="48"/>
        <v>813.85714285714289</v>
      </c>
      <c r="H227">
        <f t="shared" si="49"/>
        <v>0.31878433963905439</v>
      </c>
      <c r="I227">
        <f t="shared" si="50"/>
        <v>5.0537828310520672E-3</v>
      </c>
      <c r="K227">
        <f t="shared" si="53"/>
        <v>1040268.7012551263</v>
      </c>
      <c r="L227">
        <f t="shared" si="54"/>
        <v>9165.1999322448519</v>
      </c>
      <c r="M227">
        <f t="shared" si="43"/>
        <v>399896.67946218915</v>
      </c>
      <c r="N227">
        <f t="shared" si="55"/>
        <v>1655702.2712502512</v>
      </c>
    </row>
    <row r="228" spans="1:14" x14ac:dyDescent="0.25">
      <c r="A228" s="1">
        <v>44421</v>
      </c>
      <c r="B228">
        <v>387273</v>
      </c>
      <c r="C228">
        <f t="shared" si="51"/>
        <v>0</v>
      </c>
      <c r="D228">
        <f t="shared" si="52"/>
        <v>6163</v>
      </c>
      <c r="E228">
        <v>1724836</v>
      </c>
      <c r="F228">
        <f t="shared" si="47"/>
        <v>1086928</v>
      </c>
      <c r="G228">
        <f t="shared" si="48"/>
        <v>813.85714285714289</v>
      </c>
      <c r="H228">
        <f t="shared" si="49"/>
        <v>0.38866416312611568</v>
      </c>
      <c r="I228">
        <f t="shared" si="50"/>
        <v>3.655255913915181E-3</v>
      </c>
      <c r="K228">
        <f t="shared" si="53"/>
        <v>1036085.1581909219</v>
      </c>
      <c r="L228">
        <f t="shared" si="54"/>
        <v>9414.5159829654967</v>
      </c>
      <c r="M228">
        <f t="shared" ref="M228:M291" si="56">M227+(L227/10)</f>
        <v>400813.19945541362</v>
      </c>
      <c r="N228">
        <f t="shared" si="55"/>
        <v>1658719.9782705104</v>
      </c>
    </row>
    <row r="229" spans="1:14" x14ac:dyDescent="0.25">
      <c r="A229" s="1">
        <v>44422</v>
      </c>
      <c r="B229">
        <v>389223</v>
      </c>
      <c r="C229">
        <f t="shared" si="51"/>
        <v>1950</v>
      </c>
      <c r="D229">
        <f t="shared" si="52"/>
        <v>6822</v>
      </c>
      <c r="E229">
        <v>1728809</v>
      </c>
      <c r="F229">
        <f t="shared" si="47"/>
        <v>1081005</v>
      </c>
      <c r="G229">
        <f t="shared" si="48"/>
        <v>813.85714285714289</v>
      </c>
      <c r="H229">
        <f t="shared" si="49"/>
        <v>0.35304334135899662</v>
      </c>
      <c r="I229">
        <f t="shared" si="50"/>
        <v>6.845481750778211E-5</v>
      </c>
      <c r="K229">
        <f t="shared" si="53"/>
        <v>1031886.8535799572</v>
      </c>
      <c r="L229">
        <f t="shared" si="54"/>
        <v>9665.7979814460541</v>
      </c>
      <c r="M229">
        <f t="shared" si="56"/>
        <v>401754.65105371014</v>
      </c>
      <c r="N229">
        <f t="shared" si="55"/>
        <v>1661725.5492846982</v>
      </c>
    </row>
    <row r="230" spans="1:14" x14ac:dyDescent="0.25">
      <c r="A230" s="1">
        <v>44423</v>
      </c>
      <c r="B230">
        <v>389223</v>
      </c>
      <c r="C230">
        <f t="shared" si="51"/>
        <v>0</v>
      </c>
      <c r="D230">
        <f t="shared" si="52"/>
        <v>6822</v>
      </c>
      <c r="E230">
        <v>1728883</v>
      </c>
      <c r="F230">
        <f t="shared" si="47"/>
        <v>1080931</v>
      </c>
      <c r="G230">
        <f t="shared" si="48"/>
        <v>849.14285714285711</v>
      </c>
      <c r="H230">
        <f t="shared" si="49"/>
        <v>0.36837515931126058</v>
      </c>
      <c r="I230">
        <f t="shared" si="50"/>
        <v>2.3868313518624222E-4</v>
      </c>
      <c r="K230">
        <f t="shared" si="53"/>
        <v>1027673.854707688</v>
      </c>
      <c r="L230">
        <f t="shared" si="54"/>
        <v>9918.8248691054414</v>
      </c>
      <c r="M230">
        <f t="shared" si="56"/>
        <v>402721.23085185472</v>
      </c>
      <c r="N230">
        <f t="shared" si="55"/>
        <v>1664718.9414711634</v>
      </c>
    </row>
    <row r="231" spans="1:14" x14ac:dyDescent="0.25">
      <c r="A231" s="1">
        <v>44424</v>
      </c>
      <c r="B231">
        <v>389223</v>
      </c>
      <c r="C231">
        <f t="shared" si="51"/>
        <v>0</v>
      </c>
      <c r="D231">
        <f t="shared" si="52"/>
        <v>6822</v>
      </c>
      <c r="E231">
        <v>1729141</v>
      </c>
      <c r="F231">
        <f t="shared" si="47"/>
        <v>1080673</v>
      </c>
      <c r="G231">
        <f t="shared" si="48"/>
        <v>849.14285714285711</v>
      </c>
      <c r="H231">
        <f t="shared" si="49"/>
        <v>0.36846310524041986</v>
      </c>
      <c r="I231">
        <f t="shared" si="50"/>
        <v>6.8633157301052211E-3</v>
      </c>
      <c r="K231">
        <f t="shared" si="53"/>
        <v>1023446.2607499593</v>
      </c>
      <c r="L231">
        <f t="shared" si="54"/>
        <v>10173.365607644066</v>
      </c>
      <c r="M231">
        <f t="shared" si="56"/>
        <v>403713.11333876528</v>
      </c>
      <c r="N231">
        <f t="shared" si="55"/>
        <v>1667700.112203443</v>
      </c>
    </row>
    <row r="232" spans="1:14" x14ac:dyDescent="0.25">
      <c r="A232" s="1">
        <v>44425</v>
      </c>
      <c r="B232">
        <v>390978</v>
      </c>
      <c r="C232">
        <f t="shared" si="51"/>
        <v>1755</v>
      </c>
      <c r="D232">
        <f t="shared" si="52"/>
        <v>6981</v>
      </c>
      <c r="E232">
        <v>1736558</v>
      </c>
      <c r="F232">
        <f t="shared" si="47"/>
        <v>1071501</v>
      </c>
      <c r="G232">
        <f t="shared" si="48"/>
        <v>849.14285714285711</v>
      </c>
      <c r="H232">
        <f t="shared" si="49"/>
        <v>0.36315314130269255</v>
      </c>
      <c r="I232">
        <f t="shared" si="50"/>
        <v>2.5151633082936926E-3</v>
      </c>
      <c r="K232">
        <f t="shared" si="53"/>
        <v>1019204.2034455289</v>
      </c>
      <c r="L232">
        <f t="shared" si="54"/>
        <v>10429.179411981075</v>
      </c>
      <c r="M232">
        <f t="shared" si="56"/>
        <v>404730.44989952969</v>
      </c>
      <c r="N232">
        <f t="shared" si="55"/>
        <v>1670669.0191427721</v>
      </c>
    </row>
    <row r="233" spans="1:14" x14ac:dyDescent="0.25">
      <c r="A233" s="1">
        <v>44426</v>
      </c>
      <c r="B233">
        <v>392970</v>
      </c>
      <c r="C233">
        <f t="shared" si="51"/>
        <v>1992</v>
      </c>
      <c r="D233">
        <f t="shared" si="52"/>
        <v>8973</v>
      </c>
      <c r="E233">
        <v>1739253</v>
      </c>
      <c r="F233">
        <f t="shared" si="47"/>
        <v>1066814</v>
      </c>
      <c r="G233">
        <f t="shared" si="48"/>
        <v>934.85714285714289</v>
      </c>
      <c r="H233">
        <f t="shared" si="49"/>
        <v>0.31241950479101083</v>
      </c>
      <c r="I233">
        <f t="shared" si="50"/>
        <v>3.3670349283005285E-3</v>
      </c>
      <c r="K233">
        <f t="shared" si="53"/>
        <v>1014947.8477017836</v>
      </c>
      <c r="L233">
        <f t="shared" si="54"/>
        <v>10686.016024754595</v>
      </c>
      <c r="M233">
        <f t="shared" si="56"/>
        <v>405773.36784072779</v>
      </c>
      <c r="N233">
        <f t="shared" si="55"/>
        <v>1673625.6203325458</v>
      </c>
    </row>
    <row r="234" spans="1:14" x14ac:dyDescent="0.25">
      <c r="A234" s="1">
        <v>44427</v>
      </c>
      <c r="B234">
        <v>392970</v>
      </c>
      <c r="C234">
        <f t="shared" si="51"/>
        <v>0</v>
      </c>
      <c r="D234">
        <f t="shared" si="52"/>
        <v>8973</v>
      </c>
      <c r="E234">
        <v>1742845</v>
      </c>
      <c r="F234">
        <f t="shared" si="47"/>
        <v>1063222</v>
      </c>
      <c r="G234">
        <f t="shared" si="48"/>
        <v>1016</v>
      </c>
      <c r="H234">
        <f t="shared" si="49"/>
        <v>0.34068369507344143</v>
      </c>
      <c r="I234">
        <f t="shared" si="50"/>
        <v>3.1555028018607589E-3</v>
      </c>
      <c r="K234">
        <f t="shared" si="53"/>
        <v>1010677.3921290832</v>
      </c>
      <c r="L234">
        <f t="shared" si="54"/>
        <v>10943.616032987597</v>
      </c>
      <c r="M234">
        <f t="shared" si="56"/>
        <v>406841.96944320324</v>
      </c>
      <c r="N234">
        <f t="shared" si="55"/>
        <v>1676569.8742945378</v>
      </c>
    </row>
    <row r="235" spans="1:14" x14ac:dyDescent="0.25">
      <c r="A235" s="1">
        <v>44428</v>
      </c>
      <c r="B235">
        <v>392970</v>
      </c>
      <c r="C235">
        <f t="shared" si="51"/>
        <v>0</v>
      </c>
      <c r="D235">
        <f t="shared" si="52"/>
        <v>7414</v>
      </c>
      <c r="E235">
        <v>1746200</v>
      </c>
      <c r="F235">
        <f t="shared" si="47"/>
        <v>1059867</v>
      </c>
      <c r="G235">
        <f t="shared" si="48"/>
        <v>1016</v>
      </c>
      <c r="H235">
        <f t="shared" si="49"/>
        <v>0.41362713250270139</v>
      </c>
      <c r="I235">
        <f t="shared" si="50"/>
        <v>3.3589120144319994E-3</v>
      </c>
      <c r="K235">
        <f t="shared" si="53"/>
        <v>1006393.0694993231</v>
      </c>
      <c r="L235">
        <f t="shared" si="54"/>
        <v>11201.711227317823</v>
      </c>
      <c r="M235">
        <f t="shared" si="56"/>
        <v>407936.33104650199</v>
      </c>
      <c r="N235">
        <f t="shared" si="55"/>
        <v>1679501.7401266687</v>
      </c>
    </row>
    <row r="236" spans="1:14" x14ac:dyDescent="0.25">
      <c r="A236" s="1">
        <v>44429</v>
      </c>
      <c r="B236">
        <v>395167</v>
      </c>
      <c r="C236">
        <f t="shared" si="51"/>
        <v>2197</v>
      </c>
      <c r="D236">
        <f t="shared" si="52"/>
        <v>7894</v>
      </c>
      <c r="E236">
        <v>1749760</v>
      </c>
      <c r="F236">
        <f t="shared" si="47"/>
        <v>1054110</v>
      </c>
      <c r="G236">
        <f t="shared" si="48"/>
        <v>1016</v>
      </c>
      <c r="H236">
        <f t="shared" si="49"/>
        <v>0.39059791047922143</v>
      </c>
      <c r="I236">
        <f t="shared" si="50"/>
        <v>1.5653015339955033E-4</v>
      </c>
      <c r="K236">
        <f t="shared" si="53"/>
        <v>1002095.1471245</v>
      </c>
      <c r="L236">
        <f t="shared" si="54"/>
        <v>11460.025003972249</v>
      </c>
      <c r="M236">
        <f t="shared" si="56"/>
        <v>409056.50216923375</v>
      </c>
      <c r="N236">
        <f t="shared" si="55"/>
        <v>1682421.1776021055</v>
      </c>
    </row>
    <row r="237" spans="1:14" x14ac:dyDescent="0.25">
      <c r="A237" s="1">
        <v>44430</v>
      </c>
      <c r="B237">
        <v>395167</v>
      </c>
      <c r="C237">
        <f t="shared" si="51"/>
        <v>0</v>
      </c>
      <c r="D237">
        <f t="shared" si="52"/>
        <v>7894</v>
      </c>
      <c r="E237">
        <v>1749925</v>
      </c>
      <c r="F237">
        <f t="shared" si="47"/>
        <v>1053945</v>
      </c>
      <c r="G237">
        <f t="shared" si="48"/>
        <v>1079.7142857142858</v>
      </c>
      <c r="H237">
        <f t="shared" si="49"/>
        <v>0.41515764602325039</v>
      </c>
      <c r="I237">
        <f t="shared" si="50"/>
        <v>6.0724231340345084E-5</v>
      </c>
      <c r="K237">
        <f t="shared" si="53"/>
        <v>997783.92715128639</v>
      </c>
      <c r="L237">
        <f t="shared" si="54"/>
        <v>11718.27280943563</v>
      </c>
      <c r="M237">
        <f t="shared" si="56"/>
        <v>410202.50466963096</v>
      </c>
      <c r="N237">
        <f t="shared" si="55"/>
        <v>1685328.1472694585</v>
      </c>
    </row>
    <row r="238" spans="1:14" x14ac:dyDescent="0.25">
      <c r="A238" s="1">
        <v>44431</v>
      </c>
      <c r="B238">
        <v>395167</v>
      </c>
      <c r="C238">
        <f t="shared" si="51"/>
        <v>0</v>
      </c>
      <c r="D238">
        <f t="shared" si="52"/>
        <v>7894</v>
      </c>
      <c r="E238">
        <v>1749989</v>
      </c>
      <c r="F238">
        <f t="shared" si="47"/>
        <v>1053881</v>
      </c>
      <c r="G238">
        <f t="shared" si="48"/>
        <v>1079.7142857142858</v>
      </c>
      <c r="H238">
        <f t="shared" si="49"/>
        <v>0.41518285768314889</v>
      </c>
      <c r="I238">
        <f t="shared" si="50"/>
        <v>6.7246681551332644E-3</v>
      </c>
      <c r="K238">
        <f t="shared" si="53"/>
        <v>993459.74676788424</v>
      </c>
      <c r="L238">
        <f t="shared" si="54"/>
        <v>11976.162627520316</v>
      </c>
      <c r="M238">
        <f t="shared" si="56"/>
        <v>411374.33195057453</v>
      </c>
      <c r="N238">
        <f t="shared" si="55"/>
        <v>1688222.6105538323</v>
      </c>
    </row>
    <row r="239" spans="1:14" x14ac:dyDescent="0.25">
      <c r="A239" s="1">
        <v>44432</v>
      </c>
      <c r="B239">
        <v>397522</v>
      </c>
      <c r="C239">
        <f t="shared" si="51"/>
        <v>2355</v>
      </c>
      <c r="D239">
        <f t="shared" si="52"/>
        <v>8299</v>
      </c>
      <c r="E239">
        <v>1757076</v>
      </c>
      <c r="F239">
        <f t="shared" si="47"/>
        <v>1044439</v>
      </c>
      <c r="G239">
        <f t="shared" si="48"/>
        <v>1079.7142857142858</v>
      </c>
      <c r="H239">
        <f t="shared" si="49"/>
        <v>0.39849168692331716</v>
      </c>
      <c r="I239">
        <f t="shared" si="50"/>
        <v>2.3352249389385115E-3</v>
      </c>
      <c r="K239">
        <f t="shared" si="53"/>
        <v>989122.97831971443</v>
      </c>
      <c r="L239">
        <f t="shared" si="54"/>
        <v>12233.395508291878</v>
      </c>
      <c r="M239">
        <f t="shared" si="56"/>
        <v>412571.94821332657</v>
      </c>
      <c r="N239">
        <f t="shared" si="55"/>
        <v>1691104.5298584783</v>
      </c>
    </row>
    <row r="240" spans="1:14" x14ac:dyDescent="0.25">
      <c r="A240" s="1">
        <v>44433</v>
      </c>
      <c r="B240">
        <v>400082</v>
      </c>
      <c r="C240">
        <f t="shared" si="51"/>
        <v>2560</v>
      </c>
      <c r="D240">
        <f t="shared" si="52"/>
        <v>10859</v>
      </c>
      <c r="E240">
        <v>1759515</v>
      </c>
      <c r="F240">
        <f t="shared" si="47"/>
        <v>1039440</v>
      </c>
      <c r="G240">
        <f t="shared" si="48"/>
        <v>1032.1428571428571</v>
      </c>
      <c r="H240">
        <f t="shared" si="49"/>
        <v>0.29252959911657167</v>
      </c>
      <c r="I240">
        <f t="shared" si="50"/>
        <v>2.955437543292542E-3</v>
      </c>
      <c r="K240">
        <f t="shared" si="53"/>
        <v>984774.02933082951</v>
      </c>
      <c r="L240">
        <f t="shared" si="54"/>
        <v>12489.666138043965</v>
      </c>
      <c r="M240">
        <f t="shared" si="56"/>
        <v>413795.28776415577</v>
      </c>
      <c r="N240">
        <f t="shared" si="55"/>
        <v>1693973.868666782</v>
      </c>
    </row>
    <row r="241" spans="1:14" x14ac:dyDescent="0.25">
      <c r="A241" s="1">
        <v>44434</v>
      </c>
      <c r="B241">
        <v>400082</v>
      </c>
      <c r="C241">
        <f t="shared" si="51"/>
        <v>0</v>
      </c>
      <c r="D241">
        <f t="shared" si="52"/>
        <v>10859</v>
      </c>
      <c r="E241">
        <v>1762587</v>
      </c>
      <c r="F241">
        <f t="shared" si="47"/>
        <v>1036368</v>
      </c>
      <c r="G241">
        <f t="shared" si="48"/>
        <v>1186.8571428571429</v>
      </c>
      <c r="H241">
        <f t="shared" si="49"/>
        <v>0.33737576559351762</v>
      </c>
      <c r="I241">
        <f t="shared" si="50"/>
        <v>2.7364797060503605E-3</v>
      </c>
      <c r="K241">
        <f t="shared" si="53"/>
        <v>980413.34242829133</v>
      </c>
      <c r="L241">
        <f t="shared" si="54"/>
        <v>12744.663449247999</v>
      </c>
      <c r="M241">
        <f t="shared" si="56"/>
        <v>415044.25437796017</v>
      </c>
      <c r="N241">
        <f t="shared" si="55"/>
        <v>1696830.5916443118</v>
      </c>
    </row>
    <row r="242" spans="1:14" x14ac:dyDescent="0.25">
      <c r="A242" s="1">
        <v>44435</v>
      </c>
      <c r="B242">
        <v>400082</v>
      </c>
      <c r="C242">
        <f t="shared" si="51"/>
        <v>0</v>
      </c>
      <c r="D242">
        <f t="shared" si="52"/>
        <v>9104</v>
      </c>
      <c r="E242">
        <v>1765423</v>
      </c>
      <c r="F242">
        <f t="shared" si="47"/>
        <v>1033532</v>
      </c>
      <c r="G242">
        <f t="shared" si="48"/>
        <v>1186.8571428571429</v>
      </c>
      <c r="H242">
        <f t="shared" si="49"/>
        <v>0.40351671955180413</v>
      </c>
      <c r="I242">
        <f t="shared" si="50"/>
        <v>3.0990815959254284E-3</v>
      </c>
      <c r="K242">
        <f t="shared" si="53"/>
        <v>976041.39516714634</v>
      </c>
      <c r="L242">
        <f t="shared" si="54"/>
        <v>12998.071269130662</v>
      </c>
      <c r="M242">
        <f t="shared" si="56"/>
        <v>416318.72072288499</v>
      </c>
      <c r="N242">
        <f t="shared" si="55"/>
        <v>1699674.6647406493</v>
      </c>
    </row>
    <row r="243" spans="1:14" x14ac:dyDescent="0.25">
      <c r="A243" s="1">
        <v>44436</v>
      </c>
      <c r="B243">
        <v>402725</v>
      </c>
      <c r="C243">
        <f t="shared" si="51"/>
        <v>2643</v>
      </c>
      <c r="D243">
        <f t="shared" si="52"/>
        <v>9755</v>
      </c>
      <c r="E243">
        <v>1768626</v>
      </c>
      <c r="F243">
        <f t="shared" si="47"/>
        <v>1027686</v>
      </c>
      <c r="G243">
        <f t="shared" si="48"/>
        <v>1186.8571428571429</v>
      </c>
      <c r="H243">
        <f t="shared" si="49"/>
        <v>0.37873025216917572</v>
      </c>
      <c r="I243">
        <f t="shared" si="50"/>
        <v>2.1893846953252257E-4</v>
      </c>
      <c r="K243">
        <f t="shared" si="53"/>
        <v>971658.69975404441</v>
      </c>
      <c r="L243">
        <f t="shared" si="54"/>
        <v>13249.569005257075</v>
      </c>
      <c r="M243">
        <f t="shared" si="56"/>
        <v>417618.52784979803</v>
      </c>
      <c r="N243">
        <f t="shared" si="55"/>
        <v>1702506.0552907118</v>
      </c>
    </row>
    <row r="244" spans="1:14" x14ac:dyDescent="0.25">
      <c r="A244" s="1">
        <v>44437</v>
      </c>
      <c r="B244">
        <v>402725</v>
      </c>
      <c r="C244">
        <f t="shared" si="51"/>
        <v>0</v>
      </c>
      <c r="D244">
        <f t="shared" si="52"/>
        <v>9755</v>
      </c>
      <c r="E244">
        <v>1768851</v>
      </c>
      <c r="F244">
        <f t="shared" si="47"/>
        <v>1027461</v>
      </c>
      <c r="G244">
        <f t="shared" si="48"/>
        <v>1264.5714285714287</v>
      </c>
      <c r="H244">
        <f t="shared" si="49"/>
        <v>0.40361751908721405</v>
      </c>
      <c r="I244">
        <f t="shared" si="50"/>
        <v>6.6182560700600801E-5</v>
      </c>
      <c r="K244">
        <f t="shared" si="53"/>
        <v>967265.802667993</v>
      </c>
      <c r="L244">
        <f t="shared" si="54"/>
        <v>13498.832366222052</v>
      </c>
      <c r="M244">
        <f t="shared" si="56"/>
        <v>418943.48475032375</v>
      </c>
      <c r="N244">
        <f t="shared" si="55"/>
        <v>1705324.7321152724</v>
      </c>
    </row>
    <row r="245" spans="1:14" x14ac:dyDescent="0.25">
      <c r="A245" s="1">
        <v>44438</v>
      </c>
      <c r="B245">
        <v>402725</v>
      </c>
      <c r="C245">
        <f t="shared" si="51"/>
        <v>0</v>
      </c>
      <c r="D245">
        <f t="shared" si="52"/>
        <v>9755</v>
      </c>
      <c r="E245">
        <v>1768919</v>
      </c>
      <c r="F245">
        <f t="shared" si="47"/>
        <v>1027393</v>
      </c>
      <c r="G245">
        <f t="shared" si="48"/>
        <v>1264.5714285714287</v>
      </c>
      <c r="H245">
        <f t="shared" si="49"/>
        <v>0.40364423329618559</v>
      </c>
      <c r="I245">
        <f t="shared" si="50"/>
        <v>6.8445083818947572E-3</v>
      </c>
      <c r="K245">
        <f t="shared" si="53"/>
        <v>962863.28417720553</v>
      </c>
      <c r="L245">
        <f t="shared" si="54"/>
        <v>13745.534115278568</v>
      </c>
      <c r="M245">
        <f t="shared" si="56"/>
        <v>420293.36798694596</v>
      </c>
      <c r="N245">
        <f t="shared" si="55"/>
        <v>1708130.6656203812</v>
      </c>
    </row>
    <row r="246" spans="1:14" x14ac:dyDescent="0.25">
      <c r="A246" s="1">
        <v>44439</v>
      </c>
      <c r="B246">
        <v>404747</v>
      </c>
      <c r="C246">
        <f t="shared" si="51"/>
        <v>2022</v>
      </c>
      <c r="D246">
        <f t="shared" si="52"/>
        <v>9580</v>
      </c>
      <c r="E246">
        <v>1775951</v>
      </c>
      <c r="F246">
        <f t="shared" si="47"/>
        <v>1018339</v>
      </c>
      <c r="G246">
        <f t="shared" si="48"/>
        <v>1264.5714285714287</v>
      </c>
      <c r="H246">
        <f t="shared" si="49"/>
        <v>0.41467202997043662</v>
      </c>
      <c r="I246">
        <f t="shared" si="50"/>
        <v>2.382310802198482E-3</v>
      </c>
      <c r="K246">
        <f t="shared" si="53"/>
        <v>958451.75775148999</v>
      </c>
      <c r="L246">
        <f t="shared" si="54"/>
        <v>13989.344854463985</v>
      </c>
      <c r="M246">
        <f t="shared" si="56"/>
        <v>421667.92139847379</v>
      </c>
      <c r="N246">
        <f t="shared" si="55"/>
        <v>1710923.8278953834</v>
      </c>
    </row>
    <row r="247" spans="1:14" x14ac:dyDescent="0.25">
      <c r="A247" s="1">
        <v>44440</v>
      </c>
      <c r="B247">
        <v>408390</v>
      </c>
      <c r="C247">
        <f t="shared" si="51"/>
        <v>3643</v>
      </c>
      <c r="D247">
        <f t="shared" si="52"/>
        <v>13223</v>
      </c>
      <c r="E247">
        <v>1778377</v>
      </c>
      <c r="F247">
        <f t="shared" si="47"/>
        <v>1012270</v>
      </c>
      <c r="G247">
        <f t="shared" si="48"/>
        <v>1433.8571428571429</v>
      </c>
      <c r="H247">
        <f t="shared" si="49"/>
        <v>0.34268791031183327</v>
      </c>
      <c r="I247">
        <f t="shared" si="50"/>
        <v>1.9115453386942219E-3</v>
      </c>
      <c r="K247">
        <f>K246-($R$12*K246*L246/$B$1)-($S$12*K246)</f>
        <v>955088.04136536329</v>
      </c>
      <c r="L247">
        <f>L246+($R$12*K246*L246/$B$1)-(L246/10)</f>
        <v>14063.003131725114</v>
      </c>
      <c r="M247">
        <f t="shared" si="56"/>
        <v>423066.85588392016</v>
      </c>
      <c r="N247">
        <f>N246+($S$12*K246)</f>
        <v>1712814.9515188024</v>
      </c>
    </row>
    <row r="248" spans="1:14" x14ac:dyDescent="0.25">
      <c r="A248" s="1">
        <v>44441</v>
      </c>
      <c r="B248">
        <v>408390</v>
      </c>
      <c r="C248">
        <f t="shared" si="51"/>
        <v>0</v>
      </c>
      <c r="D248">
        <f t="shared" si="52"/>
        <v>13223</v>
      </c>
      <c r="E248">
        <v>1780312</v>
      </c>
      <c r="F248">
        <f t="shared" si="47"/>
        <v>1010335</v>
      </c>
      <c r="G248">
        <f t="shared" si="48"/>
        <v>1251.7142857142858</v>
      </c>
      <c r="H248">
        <f t="shared" si="49"/>
        <v>0.2997292148040212</v>
      </c>
      <c r="I248">
        <f t="shared" si="50"/>
        <v>3.2583252089653431E-3</v>
      </c>
      <c r="K248">
        <f t="shared" ref="K248:K276" si="57">K247-($R$12*K247*L247/$B$1)-($S$12*K247)</f>
        <v>951728.4035970947</v>
      </c>
      <c r="L248">
        <f t="shared" ref="L248:L276" si="58">L247+($R$12*K247*L247/$B$1)-(L247/10)</f>
        <v>14131.853920837664</v>
      </c>
      <c r="M248">
        <f t="shared" si="56"/>
        <v>424473.15619709267</v>
      </c>
      <c r="N248">
        <f t="shared" ref="N248:N276" si="59">N247+($S$12*K247)</f>
        <v>1714699.4381847859</v>
      </c>
    </row>
    <row r="249" spans="1:14" x14ac:dyDescent="0.25">
      <c r="A249" s="1">
        <v>44442</v>
      </c>
      <c r="B249">
        <v>408390</v>
      </c>
      <c r="C249">
        <f t="shared" si="51"/>
        <v>0</v>
      </c>
      <c r="D249">
        <f t="shared" si="52"/>
        <v>10868</v>
      </c>
      <c r="E249">
        <v>1783604</v>
      </c>
      <c r="F249">
        <f t="shared" si="47"/>
        <v>1007043</v>
      </c>
      <c r="G249">
        <f t="shared" si="48"/>
        <v>1251.7142857142858</v>
      </c>
      <c r="H249">
        <f t="shared" si="49"/>
        <v>0.36587002261187923</v>
      </c>
      <c r="I249">
        <f t="shared" si="50"/>
        <v>2.4398163732829679E-3</v>
      </c>
      <c r="K249">
        <f t="shared" si="57"/>
        <v>948373.38700191095</v>
      </c>
      <c r="L249">
        <f t="shared" si="58"/>
        <v>14195.827367858417</v>
      </c>
      <c r="M249">
        <f t="shared" si="56"/>
        <v>425886.34158917645</v>
      </c>
      <c r="N249">
        <f t="shared" si="59"/>
        <v>1716577.2959408653</v>
      </c>
    </row>
    <row r="250" spans="1:14" x14ac:dyDescent="0.25">
      <c r="A250" s="1">
        <v>44443</v>
      </c>
      <c r="B250">
        <v>411577</v>
      </c>
      <c r="C250">
        <f t="shared" si="51"/>
        <v>3187</v>
      </c>
      <c r="D250">
        <f t="shared" si="52"/>
        <v>11495</v>
      </c>
      <c r="E250">
        <v>1786061</v>
      </c>
      <c r="F250">
        <f t="shared" si="47"/>
        <v>1001399</v>
      </c>
      <c r="G250">
        <f t="shared" si="48"/>
        <v>1251.7142857142858</v>
      </c>
      <c r="H250">
        <f t="shared" si="49"/>
        <v>0.34786308408026267</v>
      </c>
      <c r="I250">
        <f t="shared" si="50"/>
        <v>1.0085889840113681E-4</v>
      </c>
      <c r="K250">
        <f t="shared" si="57"/>
        <v>945023.53408030968</v>
      </c>
      <c r="L250">
        <f t="shared" si="58"/>
        <v>14254.859588450325</v>
      </c>
      <c r="M250">
        <f t="shared" si="56"/>
        <v>427305.92432596226</v>
      </c>
      <c r="N250">
        <f t="shared" si="59"/>
        <v>1718448.5339050889</v>
      </c>
    </row>
    <row r="251" spans="1:14" x14ac:dyDescent="0.25">
      <c r="A251" s="1">
        <v>44444</v>
      </c>
      <c r="B251">
        <v>411577</v>
      </c>
      <c r="C251">
        <f t="shared" si="51"/>
        <v>0</v>
      </c>
      <c r="D251">
        <f t="shared" si="52"/>
        <v>11495</v>
      </c>
      <c r="E251">
        <f>E250+101</f>
        <v>1786162</v>
      </c>
      <c r="F251">
        <f t="shared" si="47"/>
        <v>1001298</v>
      </c>
      <c r="G251">
        <f t="shared" si="48"/>
        <v>1370.1428571428571</v>
      </c>
      <c r="H251">
        <f t="shared" si="49"/>
        <v>0.38081389801759058</v>
      </c>
      <c r="I251">
        <f t="shared" si="50"/>
        <v>1.0086907194461589E-4</v>
      </c>
      <c r="K251">
        <f t="shared" si="57"/>
        <v>941679.38655466738</v>
      </c>
      <c r="L251">
        <f t="shared" si="58"/>
        <v>14308.892794422289</v>
      </c>
      <c r="M251">
        <f t="shared" si="56"/>
        <v>428731.41028480727</v>
      </c>
      <c r="N251">
        <f t="shared" si="59"/>
        <v>1720313.1622659143</v>
      </c>
    </row>
    <row r="252" spans="1:14" x14ac:dyDescent="0.25">
      <c r="A252" s="1">
        <v>44445</v>
      </c>
      <c r="B252">
        <v>411577</v>
      </c>
      <c r="C252">
        <f t="shared" si="51"/>
        <v>0</v>
      </c>
      <c r="D252">
        <f t="shared" si="52"/>
        <v>11495</v>
      </c>
      <c r="E252">
        <f>E251+101</f>
        <v>1786263</v>
      </c>
      <c r="F252">
        <f t="shared" si="47"/>
        <v>1001197</v>
      </c>
      <c r="G252">
        <f t="shared" si="48"/>
        <v>1370.1428571428571</v>
      </c>
      <c r="H252">
        <f t="shared" si="49"/>
        <v>0.38085231423707561</v>
      </c>
      <c r="I252">
        <f t="shared" si="50"/>
        <v>1.0087924754069379E-4</v>
      </c>
      <c r="K252">
        <f t="shared" si="57"/>
        <v>938341.48464959033</v>
      </c>
      <c r="L252">
        <f t="shared" si="58"/>
        <v>14357.875405298526</v>
      </c>
      <c r="M252">
        <f t="shared" si="56"/>
        <v>430162.29956424952</v>
      </c>
      <c r="N252">
        <f t="shared" si="59"/>
        <v>1722171.192280673</v>
      </c>
    </row>
    <row r="253" spans="1:14" x14ac:dyDescent="0.25">
      <c r="A253" s="1">
        <v>44446</v>
      </c>
      <c r="B253">
        <v>414784</v>
      </c>
      <c r="C253">
        <f t="shared" si="51"/>
        <v>3207</v>
      </c>
      <c r="D253">
        <f t="shared" si="52"/>
        <v>12059</v>
      </c>
      <c r="E253">
        <v>1786364</v>
      </c>
      <c r="F253">
        <f t="shared" si="47"/>
        <v>997889</v>
      </c>
      <c r="G253">
        <f t="shared" si="48"/>
        <v>1370.1428571428571</v>
      </c>
      <c r="H253">
        <f t="shared" si="49"/>
        <v>0.36424330980593012</v>
      </c>
      <c r="I253">
        <f t="shared" si="50"/>
        <v>6.1920714628580934E-3</v>
      </c>
      <c r="K253">
        <f t="shared" si="57"/>
        <v>935010.36637786264</v>
      </c>
      <c r="L253">
        <f t="shared" si="58"/>
        <v>14401.762144554637</v>
      </c>
      <c r="M253">
        <f t="shared" si="56"/>
        <v>431598.08710477938</v>
      </c>
      <c r="N253">
        <f t="shared" si="59"/>
        <v>1724022.6362726148</v>
      </c>
    </row>
    <row r="254" spans="1:14" x14ac:dyDescent="0.25">
      <c r="A254" s="1">
        <v>44447</v>
      </c>
      <c r="B254">
        <v>417152</v>
      </c>
      <c r="C254">
        <f t="shared" si="51"/>
        <v>2368</v>
      </c>
      <c r="D254">
        <f t="shared" si="52"/>
        <v>14427</v>
      </c>
      <c r="E254">
        <v>1792543</v>
      </c>
      <c r="F254">
        <f t="shared" si="47"/>
        <v>989342</v>
      </c>
      <c r="G254">
        <f t="shared" si="48"/>
        <v>1487.1428571428571</v>
      </c>
      <c r="H254">
        <f t="shared" si="49"/>
        <v>0.33331086795189802</v>
      </c>
      <c r="I254">
        <f t="shared" si="50"/>
        <v>1.545471636703991E-3</v>
      </c>
      <c r="K254">
        <f t="shared" si="57"/>
        <v>931686.56683381158</v>
      </c>
      <c r="L254">
        <f t="shared" si="58"/>
        <v>14440.514120220885</v>
      </c>
      <c r="M254">
        <f t="shared" si="56"/>
        <v>433038.26331923483</v>
      </c>
      <c r="N254">
        <f t="shared" si="59"/>
        <v>1725867.5076265442</v>
      </c>
    </row>
    <row r="255" spans="1:14" x14ac:dyDescent="0.25">
      <c r="A255" s="1">
        <v>44448</v>
      </c>
      <c r="B255">
        <v>417152</v>
      </c>
      <c r="C255">
        <f t="shared" si="51"/>
        <v>0</v>
      </c>
      <c r="D255">
        <f t="shared" si="52"/>
        <v>14427</v>
      </c>
      <c r="E255">
        <v>1794072</v>
      </c>
      <c r="F255">
        <f t="shared" si="47"/>
        <v>987813</v>
      </c>
      <c r="G255">
        <f t="shared" si="48"/>
        <v>1703.7142857142858</v>
      </c>
      <c r="H255">
        <f t="shared" si="49"/>
        <v>0.38244171672544353</v>
      </c>
      <c r="I255">
        <f t="shared" si="50"/>
        <v>2.3010428087097455E-3</v>
      </c>
      <c r="K255">
        <f t="shared" si="57"/>
        <v>928370.61749587511</v>
      </c>
      <c r="L255">
        <f t="shared" si="58"/>
        <v>14474.098889617911</v>
      </c>
      <c r="M255">
        <f t="shared" si="56"/>
        <v>434482.31473125692</v>
      </c>
      <c r="N255">
        <f t="shared" si="59"/>
        <v>1727705.8207830614</v>
      </c>
    </row>
    <row r="256" spans="1:14" x14ac:dyDescent="0.25">
      <c r="A256" s="1">
        <v>44449</v>
      </c>
      <c r="B256">
        <v>417152</v>
      </c>
      <c r="C256">
        <f t="shared" si="51"/>
        <v>0</v>
      </c>
      <c r="D256">
        <f t="shared" si="52"/>
        <v>12405</v>
      </c>
      <c r="E256">
        <v>1796345</v>
      </c>
      <c r="F256">
        <f t="shared" si="47"/>
        <v>985540</v>
      </c>
      <c r="G256">
        <f t="shared" si="48"/>
        <v>1703.7142857142858</v>
      </c>
      <c r="H256">
        <f t="shared" si="49"/>
        <v>0.44580507065897762</v>
      </c>
      <c r="I256">
        <f t="shared" si="50"/>
        <v>2.3033058018954076E-3</v>
      </c>
      <c r="K256">
        <f t="shared" si="57"/>
        <v>925063.04554010811</v>
      </c>
      <c r="L256">
        <f t="shared" si="58"/>
        <v>14502.490508055982</v>
      </c>
      <c r="M256">
        <f t="shared" si="56"/>
        <v>435929.72462021874</v>
      </c>
      <c r="N256">
        <f t="shared" si="59"/>
        <v>1729537.5912314286</v>
      </c>
    </row>
    <row r="257" spans="1:14" x14ac:dyDescent="0.25">
      <c r="A257" s="1">
        <v>44450</v>
      </c>
      <c r="B257">
        <v>421168</v>
      </c>
      <c r="C257">
        <f t="shared" si="51"/>
        <v>4016</v>
      </c>
      <c r="D257">
        <f t="shared" si="52"/>
        <v>12778</v>
      </c>
      <c r="E257">
        <v>1798615</v>
      </c>
      <c r="F257">
        <f t="shared" si="47"/>
        <v>979254</v>
      </c>
      <c r="G257">
        <f t="shared" si="48"/>
        <v>1703.7142857142858</v>
      </c>
      <c r="H257">
        <f t="shared" si="49"/>
        <v>0.43556982968544689</v>
      </c>
      <c r="I257">
        <f t="shared" si="50"/>
        <v>1.2458463279190079E-4</v>
      </c>
      <c r="K257">
        <f t="shared" si="57"/>
        <v>921764.37316631223</v>
      </c>
      <c r="L257">
        <f t="shared" si="58"/>
        <v>14525.669561395167</v>
      </c>
      <c r="M257">
        <f t="shared" si="56"/>
        <v>437379.97367102432</v>
      </c>
      <c r="N257">
        <f t="shared" si="59"/>
        <v>1731362.8355010797</v>
      </c>
    </row>
    <row r="258" spans="1:14" x14ac:dyDescent="0.25">
      <c r="A258" s="1">
        <v>44451</v>
      </c>
      <c r="B258">
        <v>421168</v>
      </c>
      <c r="C258">
        <f t="shared" si="51"/>
        <v>0</v>
      </c>
      <c r="D258">
        <f t="shared" si="52"/>
        <v>12778</v>
      </c>
      <c r="E258">
        <v>1798737</v>
      </c>
      <c r="F258">
        <f t="shared" si="47"/>
        <v>979132</v>
      </c>
      <c r="G258">
        <f t="shared" si="48"/>
        <v>1867.2857142857142</v>
      </c>
      <c r="H258">
        <f t="shared" si="49"/>
        <v>0.4774478143576335</v>
      </c>
      <c r="I258">
        <f t="shared" si="50"/>
        <v>7.4555831083040894E-5</v>
      </c>
      <c r="K258">
        <f t="shared" si="57"/>
        <v>918475.11693841417</v>
      </c>
      <c r="L258">
        <f t="shared" si="58"/>
        <v>14543.623182430465</v>
      </c>
      <c r="M258">
        <f t="shared" si="56"/>
        <v>438832.54062716383</v>
      </c>
      <c r="N258">
        <f t="shared" si="59"/>
        <v>1733181.5711518028</v>
      </c>
    </row>
    <row r="259" spans="1:14" x14ac:dyDescent="0.25">
      <c r="A259" s="1">
        <v>44452</v>
      </c>
      <c r="B259">
        <v>421168</v>
      </c>
      <c r="C259">
        <f t="shared" si="51"/>
        <v>0</v>
      </c>
      <c r="D259">
        <f t="shared" si="52"/>
        <v>12778</v>
      </c>
      <c r="E259">
        <v>1798810</v>
      </c>
      <c r="F259">
        <f t="shared" si="47"/>
        <v>979059</v>
      </c>
      <c r="G259">
        <f t="shared" si="48"/>
        <v>1867.2857142857142</v>
      </c>
      <c r="H259">
        <f t="shared" si="49"/>
        <v>0.47748341353035767</v>
      </c>
      <c r="I259">
        <f t="shared" si="50"/>
        <v>5.8423445369482326E-3</v>
      </c>
      <c r="K259">
        <f t="shared" si="57"/>
        <v>915195.78714065242</v>
      </c>
      <c r="L259">
        <f t="shared" si="58"/>
        <v>14556.345051132223</v>
      </c>
      <c r="M259">
        <f t="shared" si="56"/>
        <v>440286.90294540691</v>
      </c>
      <c r="N259">
        <f t="shared" si="59"/>
        <v>1734993.8167626197</v>
      </c>
    </row>
    <row r="260" spans="1:14" x14ac:dyDescent="0.25">
      <c r="A260" s="1">
        <v>44453</v>
      </c>
      <c r="B260">
        <v>425194</v>
      </c>
      <c r="C260">
        <f t="shared" si="51"/>
        <v>4026</v>
      </c>
      <c r="D260">
        <f t="shared" si="52"/>
        <v>13617</v>
      </c>
      <c r="E260">
        <v>1804530</v>
      </c>
      <c r="F260">
        <f t="shared" si="47"/>
        <v>969313</v>
      </c>
      <c r="G260">
        <f t="shared" si="48"/>
        <v>1867.2857142857142</v>
      </c>
      <c r="H260">
        <f t="shared" si="49"/>
        <v>0.4525687505136215</v>
      </c>
      <c r="I260">
        <f t="shared" si="50"/>
        <v>2.0416521804618322E-3</v>
      </c>
      <c r="K260">
        <f t="shared" si="57"/>
        <v>911926.88715105818</v>
      </c>
      <c r="L260">
        <f t="shared" si="58"/>
        <v>14563.835378837826</v>
      </c>
      <c r="M260">
        <f t="shared" si="56"/>
        <v>441742.53745052015</v>
      </c>
      <c r="N260">
        <f t="shared" si="59"/>
        <v>1736799.5919193951</v>
      </c>
    </row>
    <row r="261" spans="1:14" x14ac:dyDescent="0.25">
      <c r="A261" s="1">
        <v>44454</v>
      </c>
      <c r="B261">
        <v>429078</v>
      </c>
      <c r="C261">
        <f t="shared" si="51"/>
        <v>3884</v>
      </c>
      <c r="D261">
        <f t="shared" si="52"/>
        <v>17501</v>
      </c>
      <c r="E261">
        <v>1806509</v>
      </c>
      <c r="F261">
        <f t="shared" ref="F261:F324" si="60">$B$1-(B261+E261)</f>
        <v>963450</v>
      </c>
      <c r="G261">
        <f t="shared" ref="G261:G324" si="61">AVERAGE(C261:C267)</f>
        <v>1811.1428571428571</v>
      </c>
      <c r="H261">
        <f t="shared" ref="H261:H324" si="62">(G261*$B$1)/(F261*D261)</f>
        <v>0.34362117986462187</v>
      </c>
      <c r="I261">
        <f t="shared" ref="I261:I324" si="63">(E262-E261)/F261</f>
        <v>2.3436608023249777E-3</v>
      </c>
      <c r="K261">
        <f t="shared" si="57"/>
        <v>908668.91283364175</v>
      </c>
      <c r="L261">
        <f t="shared" si="58"/>
        <v>14566.100876555376</v>
      </c>
      <c r="M261">
        <f t="shared" si="56"/>
        <v>443198.9209884039</v>
      </c>
      <c r="N261">
        <f t="shared" si="59"/>
        <v>1738598.9172012103</v>
      </c>
    </row>
    <row r="262" spans="1:14" x14ac:dyDescent="0.25">
      <c r="A262" s="1">
        <v>44455</v>
      </c>
      <c r="B262">
        <v>429078</v>
      </c>
      <c r="C262">
        <f t="shared" ref="C262:C325" si="64">B262-B261</f>
        <v>0</v>
      </c>
      <c r="D262">
        <f t="shared" si="52"/>
        <v>17501</v>
      </c>
      <c r="E262">
        <v>1808767</v>
      </c>
      <c r="F262">
        <f t="shared" si="60"/>
        <v>961192</v>
      </c>
      <c r="G262">
        <f t="shared" si="61"/>
        <v>1729.2857142857142</v>
      </c>
      <c r="H262">
        <f t="shared" si="62"/>
        <v>0.32886147822105732</v>
      </c>
      <c r="I262">
        <f t="shared" si="63"/>
        <v>2.5520395508909772E-3</v>
      </c>
      <c r="K262">
        <f t="shared" si="57"/>
        <v>905422.35195061169</v>
      </c>
      <c r="L262">
        <f t="shared" si="58"/>
        <v>14563.154707603164</v>
      </c>
      <c r="M262">
        <f t="shared" si="56"/>
        <v>444655.53107605944</v>
      </c>
      <c r="N262">
        <f t="shared" si="59"/>
        <v>1740391.814165537</v>
      </c>
    </row>
    <row r="263" spans="1:14" x14ac:dyDescent="0.25">
      <c r="A263" s="1">
        <v>44456</v>
      </c>
      <c r="B263">
        <v>429078</v>
      </c>
      <c r="C263">
        <f t="shared" si="64"/>
        <v>0</v>
      </c>
      <c r="D263">
        <f t="shared" si="52"/>
        <v>14294</v>
      </c>
      <c r="E263">
        <v>1811220</v>
      </c>
      <c r="F263">
        <f t="shared" si="60"/>
        <v>958739</v>
      </c>
      <c r="G263">
        <f t="shared" si="61"/>
        <v>1729.2857142857142</v>
      </c>
      <c r="H263">
        <f t="shared" si="62"/>
        <v>0.40367499168641768</v>
      </c>
      <c r="I263">
        <f t="shared" si="63"/>
        <v>2.233141657948618E-3</v>
      </c>
      <c r="K263">
        <f t="shared" si="57"/>
        <v>902187.68359586922</v>
      </c>
      <c r="L263">
        <f t="shared" si="58"/>
        <v>14555.016424870259</v>
      </c>
      <c r="M263">
        <f t="shared" si="56"/>
        <v>446111.84654681978</v>
      </c>
      <c r="N263">
        <f t="shared" si="59"/>
        <v>1742178.3053322521</v>
      </c>
    </row>
    <row r="264" spans="1:14" x14ac:dyDescent="0.25">
      <c r="A264" s="1">
        <v>44457</v>
      </c>
      <c r="B264">
        <v>434239</v>
      </c>
      <c r="C264">
        <f t="shared" si="64"/>
        <v>5161</v>
      </c>
      <c r="D264">
        <f t="shared" si="52"/>
        <v>17087</v>
      </c>
      <c r="E264">
        <v>1813361</v>
      </c>
      <c r="F264">
        <f t="shared" si="60"/>
        <v>951437</v>
      </c>
      <c r="G264">
        <f t="shared" si="61"/>
        <v>1729.2857142857142</v>
      </c>
      <c r="H264">
        <f t="shared" si="62"/>
        <v>0.34028292793189113</v>
      </c>
      <c r="I264">
        <f t="shared" si="63"/>
        <v>9.6695840081897176E-5</v>
      </c>
      <c r="K264">
        <f t="shared" si="57"/>
        <v>898965.37765092833</v>
      </c>
      <c r="L264">
        <f t="shared" si="58"/>
        <v>14541.711893042731</v>
      </c>
      <c r="M264">
        <f t="shared" si="56"/>
        <v>447567.34818930679</v>
      </c>
      <c r="N264">
        <f t="shared" si="59"/>
        <v>1743958.4141665334</v>
      </c>
    </row>
    <row r="265" spans="1:14" x14ac:dyDescent="0.25">
      <c r="A265" s="1">
        <v>44458</v>
      </c>
      <c r="B265">
        <v>434239</v>
      </c>
      <c r="C265">
        <f t="shared" si="64"/>
        <v>0</v>
      </c>
      <c r="D265">
        <f t="shared" si="52"/>
        <v>17087</v>
      </c>
      <c r="E265">
        <v>1813453</v>
      </c>
      <c r="F265">
        <f t="shared" si="60"/>
        <v>951345</v>
      </c>
      <c r="G265">
        <f t="shared" si="61"/>
        <v>1632.7142857142858</v>
      </c>
      <c r="H265">
        <f t="shared" si="62"/>
        <v>0.32131100197204926</v>
      </c>
      <c r="I265">
        <f t="shared" si="63"/>
        <v>3.9155090950181055E-3</v>
      </c>
      <c r="K265">
        <f t="shared" si="57"/>
        <v>895755.8942643198</v>
      </c>
      <c r="L265">
        <f t="shared" si="58"/>
        <v>14523.273196196762</v>
      </c>
      <c r="M265">
        <f t="shared" si="56"/>
        <v>449021.51937861106</v>
      </c>
      <c r="N265">
        <f t="shared" si="59"/>
        <v>1745732.1650606836</v>
      </c>
    </row>
    <row r="266" spans="1:14" x14ac:dyDescent="0.25">
      <c r="A266" s="1">
        <v>44459</v>
      </c>
      <c r="B266">
        <v>434239</v>
      </c>
      <c r="C266">
        <f t="shared" si="64"/>
        <v>0</v>
      </c>
      <c r="D266">
        <f t="shared" si="52"/>
        <v>17087</v>
      </c>
      <c r="E266">
        <v>1817178</v>
      </c>
      <c r="F266">
        <f t="shared" si="60"/>
        <v>947620</v>
      </c>
      <c r="G266">
        <f t="shared" si="61"/>
        <v>1632.7142857142858</v>
      </c>
      <c r="H266">
        <f t="shared" si="62"/>
        <v>0.32257404357347796</v>
      </c>
      <c r="I266">
        <f t="shared" si="63"/>
        <v>1.1597475781431376E-3</v>
      </c>
      <c r="K266">
        <f t="shared" si="57"/>
        <v>892559.68335544108</v>
      </c>
      <c r="L266">
        <f t="shared" si="58"/>
        <v>14499.738531213892</v>
      </c>
      <c r="M266">
        <f t="shared" si="56"/>
        <v>450473.84669823071</v>
      </c>
      <c r="N266">
        <f t="shared" si="59"/>
        <v>1747499.5833149254</v>
      </c>
    </row>
    <row r="267" spans="1:14" x14ac:dyDescent="0.25">
      <c r="A267" s="1">
        <v>44460</v>
      </c>
      <c r="B267">
        <v>437872</v>
      </c>
      <c r="C267">
        <f t="shared" si="64"/>
        <v>3633</v>
      </c>
      <c r="D267">
        <f t="shared" si="52"/>
        <v>16704</v>
      </c>
      <c r="E267">
        <v>1818277</v>
      </c>
      <c r="F267">
        <f t="shared" si="60"/>
        <v>942888</v>
      </c>
      <c r="G267">
        <f t="shared" si="61"/>
        <v>1632.7142857142858</v>
      </c>
      <c r="H267">
        <f t="shared" si="62"/>
        <v>0.33162622402508962</v>
      </c>
      <c r="I267">
        <f t="shared" si="63"/>
        <v>1.7669118707630174E-3</v>
      </c>
      <c r="K267">
        <f t="shared" si="57"/>
        <v>889377.18414371565</v>
      </c>
      <c r="L267">
        <f t="shared" si="58"/>
        <v>14471.152087524517</v>
      </c>
      <c r="M267">
        <f t="shared" si="56"/>
        <v>451923.82055135211</v>
      </c>
      <c r="N267">
        <f t="shared" si="59"/>
        <v>1749260.6951172189</v>
      </c>
    </row>
    <row r="268" spans="1:14" x14ac:dyDescent="0.25">
      <c r="A268" s="1">
        <v>44461</v>
      </c>
      <c r="B268">
        <v>441183</v>
      </c>
      <c r="C268">
        <f t="shared" si="64"/>
        <v>3311</v>
      </c>
      <c r="D268">
        <f t="shared" si="52"/>
        <v>20015</v>
      </c>
      <c r="E268">
        <v>1819943</v>
      </c>
      <c r="F268">
        <f t="shared" si="60"/>
        <v>937911</v>
      </c>
      <c r="G268">
        <f t="shared" si="61"/>
        <v>1595.1428571428571</v>
      </c>
      <c r="H268">
        <f t="shared" si="62"/>
        <v>0.27183265244582866</v>
      </c>
      <c r="I268">
        <f t="shared" si="63"/>
        <v>2.0279109638334553E-3</v>
      </c>
      <c r="K268">
        <f t="shared" si="57"/>
        <v>886208.82470382471</v>
      </c>
      <c r="L268">
        <f t="shared" si="58"/>
        <v>14437.563913733229</v>
      </c>
      <c r="M268">
        <f t="shared" si="56"/>
        <v>453370.93576010456</v>
      </c>
      <c r="N268">
        <f t="shared" si="59"/>
        <v>1751015.5275221486</v>
      </c>
    </row>
    <row r="269" spans="1:14" x14ac:dyDescent="0.25">
      <c r="A269" s="1">
        <v>44462</v>
      </c>
      <c r="B269">
        <v>441183</v>
      </c>
      <c r="C269">
        <f t="shared" si="64"/>
        <v>0</v>
      </c>
      <c r="D269">
        <f t="shared" si="52"/>
        <v>20015</v>
      </c>
      <c r="E269">
        <v>1821845</v>
      </c>
      <c r="F269">
        <f t="shared" si="60"/>
        <v>936009</v>
      </c>
      <c r="G269">
        <f t="shared" si="61"/>
        <v>1553.4285714285713</v>
      </c>
      <c r="H269">
        <f t="shared" si="62"/>
        <v>0.26526193463334907</v>
      </c>
      <c r="I269">
        <f t="shared" si="63"/>
        <v>1.7948545366550963E-3</v>
      </c>
      <c r="K269">
        <f t="shared" si="57"/>
        <v>883055.02154767467</v>
      </c>
      <c r="L269">
        <f t="shared" si="58"/>
        <v>14399.029771723634</v>
      </c>
      <c r="M269">
        <f t="shared" si="56"/>
        <v>454814.69215147791</v>
      </c>
      <c r="N269">
        <f t="shared" si="59"/>
        <v>1752764.1084289348</v>
      </c>
    </row>
    <row r="270" spans="1:14" x14ac:dyDescent="0.25">
      <c r="A270" s="1">
        <v>44463</v>
      </c>
      <c r="B270">
        <v>441183</v>
      </c>
      <c r="C270">
        <f t="shared" si="64"/>
        <v>0</v>
      </c>
      <c r="D270">
        <f t="shared" ref="D270:D333" si="65">SUM(C261:C270)</f>
        <v>15989</v>
      </c>
      <c r="E270">
        <v>1823525</v>
      </c>
      <c r="F270">
        <f t="shared" si="60"/>
        <v>934329</v>
      </c>
      <c r="G270">
        <f t="shared" si="61"/>
        <v>1553.4285714285713</v>
      </c>
      <c r="H270">
        <f t="shared" si="62"/>
        <v>0.33265144971130839</v>
      </c>
      <c r="I270">
        <f t="shared" si="63"/>
        <v>2.130941028267345E-3</v>
      </c>
      <c r="K270">
        <f t="shared" si="57"/>
        <v>879916.17923366209</v>
      </c>
      <c r="L270">
        <f t="shared" si="58"/>
        <v>14355.61097888041</v>
      </c>
      <c r="M270">
        <f t="shared" si="56"/>
        <v>456254.59512865025</v>
      </c>
      <c r="N270">
        <f t="shared" si="59"/>
        <v>1754506.4665586182</v>
      </c>
    </row>
    <row r="271" spans="1:14" x14ac:dyDescent="0.25">
      <c r="A271" s="1">
        <v>44464</v>
      </c>
      <c r="B271">
        <v>445668</v>
      </c>
      <c r="C271">
        <f t="shared" si="64"/>
        <v>4485</v>
      </c>
      <c r="D271">
        <f t="shared" si="65"/>
        <v>16590</v>
      </c>
      <c r="E271">
        <v>1825516</v>
      </c>
      <c r="F271">
        <f t="shared" si="60"/>
        <v>927853</v>
      </c>
      <c r="G271">
        <f t="shared" si="61"/>
        <v>1553.4285714285713</v>
      </c>
      <c r="H271">
        <f t="shared" si="62"/>
        <v>0.32283825373820962</v>
      </c>
      <c r="I271">
        <f t="shared" si="63"/>
        <v>1.1747550527939232E-4</v>
      </c>
      <c r="K271">
        <f t="shared" si="57"/>
        <v>876792.69000369497</v>
      </c>
      <c r="L271">
        <f t="shared" si="58"/>
        <v>14307.374239102704</v>
      </c>
      <c r="M271">
        <f t="shared" si="56"/>
        <v>457690.1562265383</v>
      </c>
      <c r="N271">
        <f t="shared" si="59"/>
        <v>1756242.631430475</v>
      </c>
    </row>
    <row r="272" spans="1:14" x14ac:dyDescent="0.25">
      <c r="A272" s="1">
        <v>44465</v>
      </c>
      <c r="B272">
        <v>445668</v>
      </c>
      <c r="C272">
        <f t="shared" si="64"/>
        <v>0</v>
      </c>
      <c r="D272">
        <f t="shared" si="65"/>
        <v>16590</v>
      </c>
      <c r="E272">
        <v>1825625</v>
      </c>
      <c r="F272">
        <f t="shared" si="60"/>
        <v>927744</v>
      </c>
      <c r="G272">
        <f t="shared" si="61"/>
        <v>1415.8571428571429</v>
      </c>
      <c r="H272">
        <f t="shared" si="62"/>
        <v>0.29428231170258484</v>
      </c>
      <c r="I272">
        <f t="shared" si="63"/>
        <v>1.2611237582781456E-4</v>
      </c>
      <c r="K272">
        <f t="shared" si="57"/>
        <v>873684.93344833271</v>
      </c>
      <c r="L272">
        <f t="shared" si="58"/>
        <v>14254.391463315145</v>
      </c>
      <c r="M272">
        <f t="shared" si="56"/>
        <v>459120.89365044859</v>
      </c>
      <c r="N272">
        <f t="shared" si="59"/>
        <v>1757972.6333377147</v>
      </c>
    </row>
    <row r="273" spans="1:14" x14ac:dyDescent="0.25">
      <c r="A273" s="1">
        <v>44466</v>
      </c>
      <c r="B273">
        <v>445668</v>
      </c>
      <c r="C273">
        <f t="shared" si="64"/>
        <v>0</v>
      </c>
      <c r="D273">
        <f t="shared" si="65"/>
        <v>16590</v>
      </c>
      <c r="E273">
        <v>1825742</v>
      </c>
      <c r="F273">
        <f t="shared" si="60"/>
        <v>927627</v>
      </c>
      <c r="G273">
        <f t="shared" si="61"/>
        <v>1415.8571428571429</v>
      </c>
      <c r="H273">
        <f t="shared" si="62"/>
        <v>0.2943194290250315</v>
      </c>
      <c r="I273">
        <f t="shared" si="63"/>
        <v>4.5729587431154982E-3</v>
      </c>
      <c r="K273">
        <f t="shared" si="57"/>
        <v>870593.27620030253</v>
      </c>
      <c r="L273">
        <f t="shared" si="58"/>
        <v>14196.739580210837</v>
      </c>
      <c r="M273">
        <f t="shared" si="56"/>
        <v>460546.3327967801</v>
      </c>
      <c r="N273">
        <f t="shared" si="59"/>
        <v>1759696.5033225177</v>
      </c>
    </row>
    <row r="274" spans="1:14" x14ac:dyDescent="0.25">
      <c r="A274" s="1">
        <v>44467</v>
      </c>
      <c r="B274">
        <v>449038</v>
      </c>
      <c r="C274">
        <f t="shared" si="64"/>
        <v>3370</v>
      </c>
      <c r="D274">
        <f t="shared" si="65"/>
        <v>14799</v>
      </c>
      <c r="E274">
        <v>1829984</v>
      </c>
      <c r="F274">
        <f t="shared" si="60"/>
        <v>920015</v>
      </c>
      <c r="G274">
        <f t="shared" si="61"/>
        <v>1415.8571428571429</v>
      </c>
      <c r="H274">
        <f t="shared" si="62"/>
        <v>0.33266830157012384</v>
      </c>
      <c r="I274">
        <f t="shared" si="63"/>
        <v>1.6717118742629196E-3</v>
      </c>
      <c r="K274">
        <f t="shared" si="57"/>
        <v>867518.07165655645</v>
      </c>
      <c r="L274">
        <f t="shared" si="58"/>
        <v>14134.500337984562</v>
      </c>
      <c r="M274">
        <f t="shared" si="56"/>
        <v>461966.0067548012</v>
      </c>
      <c r="N274">
        <f t="shared" si="59"/>
        <v>1761414.2731504689</v>
      </c>
    </row>
    <row r="275" spans="1:14" x14ac:dyDescent="0.25">
      <c r="A275" s="1">
        <v>44468</v>
      </c>
      <c r="B275">
        <v>452057</v>
      </c>
      <c r="C275">
        <f t="shared" si="64"/>
        <v>3019</v>
      </c>
      <c r="D275">
        <f t="shared" si="65"/>
        <v>17818</v>
      </c>
      <c r="E275">
        <v>1831522</v>
      </c>
      <c r="F275">
        <f t="shared" si="60"/>
        <v>915458</v>
      </c>
      <c r="G275">
        <f t="shared" si="61"/>
        <v>1410</v>
      </c>
      <c r="H275">
        <f t="shared" si="62"/>
        <v>0.27652919983565072</v>
      </c>
      <c r="I275">
        <f t="shared" si="63"/>
        <v>1.3195580791254215E-3</v>
      </c>
      <c r="K275">
        <f t="shared" si="57"/>
        <v>864459.65972893627</v>
      </c>
      <c r="L275">
        <f t="shared" si="58"/>
        <v>14067.760097833976</v>
      </c>
      <c r="M275">
        <f t="shared" si="56"/>
        <v>463379.45678859967</v>
      </c>
      <c r="N275">
        <f t="shared" si="59"/>
        <v>1763125.9752844414</v>
      </c>
    </row>
    <row r="276" spans="1:14" x14ac:dyDescent="0.25">
      <c r="A276" s="1">
        <v>44469</v>
      </c>
      <c r="B276">
        <v>452057</v>
      </c>
      <c r="C276">
        <f t="shared" si="64"/>
        <v>0</v>
      </c>
      <c r="D276">
        <f t="shared" si="65"/>
        <v>17818</v>
      </c>
      <c r="E276">
        <v>1832730</v>
      </c>
      <c r="F276">
        <f t="shared" si="60"/>
        <v>914250</v>
      </c>
      <c r="G276">
        <f t="shared" si="61"/>
        <v>1381.7142857142858</v>
      </c>
      <c r="H276">
        <f t="shared" si="62"/>
        <v>0.27133985425009788</v>
      </c>
      <c r="I276">
        <f t="shared" si="63"/>
        <v>3.0265244736122506E-3</v>
      </c>
      <c r="K276">
        <f t="shared" si="57"/>
        <v>861418.36662341747</v>
      </c>
      <c r="L276">
        <f t="shared" si="58"/>
        <v>13996.609620021934</v>
      </c>
      <c r="M276">
        <f t="shared" si="56"/>
        <v>464786.23279838305</v>
      </c>
      <c r="N276">
        <f t="shared" si="59"/>
        <v>1764831.6428579888</v>
      </c>
    </row>
    <row r="277" spans="1:14" x14ac:dyDescent="0.25">
      <c r="A277" s="1">
        <v>44470</v>
      </c>
      <c r="B277">
        <v>452057</v>
      </c>
      <c r="C277">
        <f t="shared" si="64"/>
        <v>0</v>
      </c>
      <c r="D277">
        <f t="shared" si="65"/>
        <v>14185</v>
      </c>
      <c r="E277">
        <v>1835497</v>
      </c>
      <c r="F277">
        <f t="shared" si="60"/>
        <v>911483</v>
      </c>
      <c r="G277">
        <f t="shared" si="61"/>
        <v>1381.7142857142858</v>
      </c>
      <c r="H277">
        <f t="shared" si="62"/>
        <v>0.3418689025190455</v>
      </c>
      <c r="I277">
        <f t="shared" si="63"/>
        <v>1.8936173247334289E-3</v>
      </c>
      <c r="K277">
        <f>K276-($R$13*K276*L276/$B$1)-($S$13*K276)</f>
        <v>858626.78432621423</v>
      </c>
      <c r="L277">
        <f>L276+($R$13*K276*L276/$B$1)-(L276/10)</f>
        <v>13912.129324678051</v>
      </c>
      <c r="M277">
        <f t="shared" si="56"/>
        <v>466185.89376038522</v>
      </c>
      <c r="N277">
        <f>N276+($S$13*K276)</f>
        <v>1766308.0444885336</v>
      </c>
    </row>
    <row r="278" spans="1:14" x14ac:dyDescent="0.25">
      <c r="A278" s="1">
        <v>44471</v>
      </c>
      <c r="B278">
        <v>455579</v>
      </c>
      <c r="C278">
        <f t="shared" si="64"/>
        <v>3522</v>
      </c>
      <c r="D278">
        <f t="shared" si="65"/>
        <v>14396</v>
      </c>
      <c r="E278">
        <v>1837223</v>
      </c>
      <c r="F278">
        <f t="shared" si="60"/>
        <v>906235</v>
      </c>
      <c r="G278">
        <f t="shared" si="61"/>
        <v>1381.7142857142858</v>
      </c>
      <c r="H278">
        <f t="shared" si="62"/>
        <v>0.33880892476475538</v>
      </c>
      <c r="I278">
        <f t="shared" si="63"/>
        <v>1.8869277836322808E-4</v>
      </c>
      <c r="K278">
        <f t="shared" ref="K278:K307" si="66">K277-($R$13*K277*L277/$B$1)-($S$13*K277)</f>
        <v>855852.16105834499</v>
      </c>
      <c r="L278">
        <f t="shared" ref="L278:L307" si="67">L277+($R$13*K277*L277/$B$1)-(L277/10)</f>
        <v>13823.922576527199</v>
      </c>
      <c r="M278">
        <f t="shared" si="56"/>
        <v>467577.10669285303</v>
      </c>
      <c r="N278">
        <f t="shared" ref="N278:N307" si="68">N277+($S$13*K277)</f>
        <v>1767779.6615720859</v>
      </c>
    </row>
    <row r="279" spans="1:14" x14ac:dyDescent="0.25">
      <c r="A279" s="1">
        <v>44472</v>
      </c>
      <c r="B279">
        <v>455579</v>
      </c>
      <c r="C279">
        <f t="shared" si="64"/>
        <v>0</v>
      </c>
      <c r="D279">
        <f t="shared" si="65"/>
        <v>14396</v>
      </c>
      <c r="E279">
        <v>1837394</v>
      </c>
      <c r="F279">
        <f t="shared" si="60"/>
        <v>906064</v>
      </c>
      <c r="G279">
        <f t="shared" si="61"/>
        <v>1316.8571428571429</v>
      </c>
      <c r="H279">
        <f t="shared" si="62"/>
        <v>0.32296630415547656</v>
      </c>
      <c r="I279">
        <f t="shared" si="63"/>
        <v>1.0595278037754507E-4</v>
      </c>
      <c r="K279">
        <f t="shared" si="66"/>
        <v>853094.73861438944</v>
      </c>
      <c r="L279">
        <f t="shared" si="67"/>
        <v>13732.09115986122</v>
      </c>
      <c r="M279">
        <f t="shared" si="56"/>
        <v>468959.49895050575</v>
      </c>
      <c r="N279">
        <f t="shared" si="68"/>
        <v>1769246.5231750547</v>
      </c>
    </row>
    <row r="280" spans="1:14" x14ac:dyDescent="0.25">
      <c r="A280" s="1">
        <v>44473</v>
      </c>
      <c r="B280">
        <v>455579</v>
      </c>
      <c r="C280">
        <f t="shared" si="64"/>
        <v>0</v>
      </c>
      <c r="D280">
        <f t="shared" si="65"/>
        <v>14396</v>
      </c>
      <c r="E280">
        <v>1837490</v>
      </c>
      <c r="F280">
        <f t="shared" si="60"/>
        <v>905968</v>
      </c>
      <c r="G280">
        <f t="shared" si="61"/>
        <v>1316.8571428571429</v>
      </c>
      <c r="H280">
        <f t="shared" si="62"/>
        <v>0.32300052695937131</v>
      </c>
      <c r="I280">
        <f t="shared" si="63"/>
        <v>4.8246737191600586E-3</v>
      </c>
      <c r="K280">
        <f t="shared" si="66"/>
        <v>850354.74564665766</v>
      </c>
      <c r="L280">
        <f t="shared" si="67"/>
        <v>13636.739408396319</v>
      </c>
      <c r="M280">
        <f t="shared" si="56"/>
        <v>470332.70806649188</v>
      </c>
      <c r="N280">
        <f t="shared" si="68"/>
        <v>1770708.6587782654</v>
      </c>
    </row>
    <row r="281" spans="1:14" x14ac:dyDescent="0.25">
      <c r="A281" s="1">
        <v>44474</v>
      </c>
      <c r="B281">
        <v>458908</v>
      </c>
      <c r="C281">
        <f t="shared" si="64"/>
        <v>3329</v>
      </c>
      <c r="D281">
        <f t="shared" si="65"/>
        <v>13240</v>
      </c>
      <c r="E281">
        <v>1841861</v>
      </c>
      <c r="F281">
        <f t="shared" si="60"/>
        <v>898268</v>
      </c>
      <c r="G281">
        <f t="shared" si="61"/>
        <v>1316.8571428571429</v>
      </c>
      <c r="H281">
        <f t="shared" si="62"/>
        <v>0.35421260606314969</v>
      </c>
      <c r="I281">
        <f t="shared" si="63"/>
        <v>1.4995524720907347E-3</v>
      </c>
      <c r="K281">
        <f t="shared" si="66"/>
        <v>847632.39764392411</v>
      </c>
      <c r="L281">
        <f t="shared" si="67"/>
        <v>13537.97399412087</v>
      </c>
      <c r="M281">
        <f t="shared" si="56"/>
        <v>471696.38200733153</v>
      </c>
      <c r="N281">
        <f t="shared" si="68"/>
        <v>1772166.0982544348</v>
      </c>
    </row>
    <row r="282" spans="1:14" x14ac:dyDescent="0.25">
      <c r="A282" s="1">
        <v>44475</v>
      </c>
      <c r="B282">
        <v>461729</v>
      </c>
      <c r="C282">
        <f t="shared" si="64"/>
        <v>2821</v>
      </c>
      <c r="D282">
        <f t="shared" si="65"/>
        <v>16061</v>
      </c>
      <c r="E282">
        <v>1843208</v>
      </c>
      <c r="F282">
        <f t="shared" si="60"/>
        <v>894100</v>
      </c>
      <c r="G282">
        <f t="shared" si="61"/>
        <v>1221.5714285714287</v>
      </c>
      <c r="H282">
        <f t="shared" si="62"/>
        <v>0.27213189919664205</v>
      </c>
      <c r="I282">
        <f t="shared" si="63"/>
        <v>1.5792416955597809E-3</v>
      </c>
      <c r="K282">
        <f t="shared" si="66"/>
        <v>844927.89693185012</v>
      </c>
      <c r="L282">
        <f t="shared" si="67"/>
        <v>13435.903715607092</v>
      </c>
      <c r="M282">
        <f t="shared" si="56"/>
        <v>473050.17940674361</v>
      </c>
      <c r="N282">
        <f t="shared" si="68"/>
        <v>1773618.8718456104</v>
      </c>
    </row>
    <row r="283" spans="1:14" x14ac:dyDescent="0.25">
      <c r="A283" s="1">
        <v>44476</v>
      </c>
      <c r="B283">
        <v>461729</v>
      </c>
      <c r="C283">
        <f t="shared" si="64"/>
        <v>0</v>
      </c>
      <c r="D283">
        <f t="shared" si="65"/>
        <v>16061</v>
      </c>
      <c r="E283">
        <v>1844620</v>
      </c>
      <c r="F283">
        <f t="shared" si="60"/>
        <v>892688</v>
      </c>
      <c r="G283">
        <f t="shared" si="61"/>
        <v>1163.7142857142858</v>
      </c>
      <c r="H283">
        <f t="shared" si="62"/>
        <v>0.25965300314222056</v>
      </c>
      <c r="I283">
        <f t="shared" si="63"/>
        <v>2.4947125983546324E-3</v>
      </c>
      <c r="K283">
        <f t="shared" si="66"/>
        <v>842241.43269449996</v>
      </c>
      <c r="L283">
        <f t="shared" si="67"/>
        <v>13330.639286397251</v>
      </c>
      <c r="M283">
        <f t="shared" si="56"/>
        <v>474393.76977830433</v>
      </c>
      <c r="N283">
        <f t="shared" si="68"/>
        <v>1775067.0101406097</v>
      </c>
    </row>
    <row r="284" spans="1:14" x14ac:dyDescent="0.25">
      <c r="A284" s="1">
        <v>44477</v>
      </c>
      <c r="B284">
        <v>461729</v>
      </c>
      <c r="C284">
        <f t="shared" si="64"/>
        <v>0</v>
      </c>
      <c r="D284">
        <f t="shared" si="65"/>
        <v>12691</v>
      </c>
      <c r="E284">
        <v>1846847</v>
      </c>
      <c r="F284">
        <f t="shared" si="60"/>
        <v>890461</v>
      </c>
      <c r="G284">
        <f t="shared" si="61"/>
        <v>1163.7142857142858</v>
      </c>
      <c r="H284">
        <f t="shared" si="62"/>
        <v>0.32942373097186545</v>
      </c>
      <c r="I284">
        <f t="shared" si="63"/>
        <v>1.4509338421334567E-3</v>
      </c>
      <c r="K284">
        <f t="shared" si="66"/>
        <v>839573.18101631431</v>
      </c>
      <c r="L284">
        <f t="shared" si="67"/>
        <v>13222.293124056752</v>
      </c>
      <c r="M284">
        <f t="shared" si="56"/>
        <v>475726.83370694407</v>
      </c>
      <c r="N284">
        <f t="shared" si="68"/>
        <v>1776510.5440524961</v>
      </c>
    </row>
    <row r="285" spans="1:14" x14ac:dyDescent="0.25">
      <c r="A285" s="1">
        <v>44478</v>
      </c>
      <c r="B285">
        <v>464797</v>
      </c>
      <c r="C285">
        <f t="shared" si="64"/>
        <v>3068</v>
      </c>
      <c r="D285">
        <f t="shared" si="65"/>
        <v>12740</v>
      </c>
      <c r="E285">
        <v>1848139</v>
      </c>
      <c r="F285">
        <f t="shared" si="60"/>
        <v>886101</v>
      </c>
      <c r="G285">
        <f t="shared" si="61"/>
        <v>1163.7142857142858</v>
      </c>
      <c r="H285">
        <f t="shared" si="62"/>
        <v>0.3297713895367676</v>
      </c>
      <c r="I285">
        <f t="shared" si="63"/>
        <v>1.2978204516189463E-3</v>
      </c>
      <c r="K285">
        <f t="shared" si="66"/>
        <v>836923.30494386773</v>
      </c>
      <c r="L285">
        <f t="shared" si="67"/>
        <v>13110.979140466214</v>
      </c>
      <c r="M285">
        <f t="shared" si="56"/>
        <v>477049.06301934976</v>
      </c>
      <c r="N285">
        <f t="shared" si="68"/>
        <v>1777949.5047961276</v>
      </c>
    </row>
    <row r="286" spans="1:14" x14ac:dyDescent="0.25">
      <c r="A286" s="1">
        <v>44479</v>
      </c>
      <c r="B286">
        <v>464797</v>
      </c>
      <c r="C286">
        <f t="shared" si="64"/>
        <v>0</v>
      </c>
      <c r="D286">
        <f t="shared" si="65"/>
        <v>12740</v>
      </c>
      <c r="E286">
        <f>E285+1150</f>
        <v>1849289</v>
      </c>
      <c r="F286">
        <f t="shared" si="60"/>
        <v>884951</v>
      </c>
      <c r="G286">
        <f t="shared" si="61"/>
        <v>1076.2857142857142</v>
      </c>
      <c r="H286">
        <f t="shared" si="62"/>
        <v>0.30539237304226413</v>
      </c>
      <c r="I286">
        <f t="shared" si="63"/>
        <v>3.8973909289892888E-3</v>
      </c>
      <c r="K286">
        <f t="shared" si="66"/>
        <v>834291.95456670143</v>
      </c>
      <c r="L286">
        <f t="shared" si="67"/>
        <v>12996.812533902425</v>
      </c>
      <c r="M286">
        <f t="shared" si="56"/>
        <v>478360.16093339637</v>
      </c>
      <c r="N286">
        <f t="shared" si="68"/>
        <v>1779383.923865811</v>
      </c>
    </row>
    <row r="287" spans="1:14" x14ac:dyDescent="0.25">
      <c r="A287" s="1">
        <v>44480</v>
      </c>
      <c r="B287">
        <v>464797</v>
      </c>
      <c r="C287">
        <f t="shared" si="64"/>
        <v>0</v>
      </c>
      <c r="D287">
        <f t="shared" si="65"/>
        <v>12740</v>
      </c>
      <c r="E287">
        <f>1150+E288</f>
        <v>1852738</v>
      </c>
      <c r="F287">
        <f t="shared" si="60"/>
        <v>881502</v>
      </c>
      <c r="G287">
        <f t="shared" si="61"/>
        <v>1076.2857142857142</v>
      </c>
      <c r="H287">
        <f t="shared" si="62"/>
        <v>0.30658726346182386</v>
      </c>
      <c r="I287">
        <f t="shared" si="63"/>
        <v>-1.3045914813579549E-3</v>
      </c>
      <c r="K287">
        <f t="shared" si="66"/>
        <v>831679.26711649587</v>
      </c>
      <c r="L287">
        <f t="shared" si="67"/>
        <v>12879.909583434386</v>
      </c>
      <c r="M287">
        <f t="shared" si="56"/>
        <v>479659.84218678664</v>
      </c>
      <c r="N287">
        <f t="shared" si="68"/>
        <v>1780813.8330130945</v>
      </c>
    </row>
    <row r="288" spans="1:14" x14ac:dyDescent="0.25">
      <c r="A288" s="1">
        <v>44481</v>
      </c>
      <c r="B288">
        <v>467459</v>
      </c>
      <c r="C288">
        <f t="shared" si="64"/>
        <v>2662</v>
      </c>
      <c r="D288">
        <f t="shared" si="65"/>
        <v>11880</v>
      </c>
      <c r="E288">
        <v>1851588</v>
      </c>
      <c r="F288">
        <f t="shared" si="60"/>
        <v>879990</v>
      </c>
      <c r="G288">
        <f t="shared" si="61"/>
        <v>1076.2857142857142</v>
      </c>
      <c r="H288">
        <f t="shared" si="62"/>
        <v>0.32934620340721543</v>
      </c>
      <c r="I288">
        <f t="shared" si="63"/>
        <v>1.5022897987477131E-3</v>
      </c>
      <c r="K288">
        <f t="shared" si="66"/>
        <v>829085.36708381574</v>
      </c>
      <c r="L288">
        <f t="shared" si="67"/>
        <v>12760.387446135444</v>
      </c>
      <c r="M288">
        <f t="shared" si="56"/>
        <v>480947.83314513008</v>
      </c>
      <c r="N288">
        <f t="shared" si="68"/>
        <v>1782239.2642247302</v>
      </c>
    </row>
    <row r="289" spans="1:14" x14ac:dyDescent="0.25">
      <c r="A289" s="1">
        <v>44482</v>
      </c>
      <c r="B289">
        <v>469875</v>
      </c>
      <c r="C289">
        <f t="shared" si="64"/>
        <v>2416</v>
      </c>
      <c r="D289">
        <f t="shared" si="65"/>
        <v>14296</v>
      </c>
      <c r="E289">
        <v>1852910</v>
      </c>
      <c r="F289">
        <f t="shared" si="60"/>
        <v>876252</v>
      </c>
      <c r="G289">
        <f t="shared" si="61"/>
        <v>965.28571428571433</v>
      </c>
      <c r="H289">
        <f t="shared" si="62"/>
        <v>0.24650831910968732</v>
      </c>
      <c r="I289">
        <f t="shared" si="63"/>
        <v>1.3717515052747383E-3</v>
      </c>
      <c r="K289">
        <f t="shared" si="66"/>
        <v>826510.36635164486</v>
      </c>
      <c r="L289">
        <f t="shared" si="67"/>
        <v>12638.363957586036</v>
      </c>
      <c r="M289">
        <f t="shared" si="56"/>
        <v>482223.8718897436</v>
      </c>
      <c r="N289">
        <f t="shared" si="68"/>
        <v>1783660.2497008368</v>
      </c>
    </row>
    <row r="290" spans="1:14" x14ac:dyDescent="0.25">
      <c r="A290" s="1">
        <v>44483</v>
      </c>
      <c r="B290">
        <v>469875</v>
      </c>
      <c r="C290">
        <f t="shared" si="64"/>
        <v>0</v>
      </c>
      <c r="D290">
        <f t="shared" si="65"/>
        <v>14296</v>
      </c>
      <c r="E290">
        <v>1854112</v>
      </c>
      <c r="F290">
        <f t="shared" si="60"/>
        <v>875050</v>
      </c>
      <c r="G290">
        <f t="shared" si="61"/>
        <v>976.85714285714289</v>
      </c>
      <c r="H290">
        <f t="shared" si="62"/>
        <v>0.24980602625043744</v>
      </c>
      <c r="I290">
        <f t="shared" si="63"/>
        <v>2.0318838923490084E-3</v>
      </c>
      <c r="K290">
        <f t="shared" si="66"/>
        <v>823954.36434490292</v>
      </c>
      <c r="L290">
        <f t="shared" si="67"/>
        <v>12513.957436114162</v>
      </c>
      <c r="M290">
        <f t="shared" si="56"/>
        <v>483487.70828550222</v>
      </c>
      <c r="N290">
        <f t="shared" si="68"/>
        <v>1785076.821833292</v>
      </c>
    </row>
    <row r="291" spans="1:14" x14ac:dyDescent="0.25">
      <c r="A291" s="1">
        <v>44484</v>
      </c>
      <c r="B291">
        <v>469875</v>
      </c>
      <c r="C291">
        <f t="shared" si="64"/>
        <v>0</v>
      </c>
      <c r="D291">
        <f t="shared" si="65"/>
        <v>10967</v>
      </c>
      <c r="E291">
        <v>1855890</v>
      </c>
      <c r="F291">
        <f t="shared" si="60"/>
        <v>873272</v>
      </c>
      <c r="G291">
        <f t="shared" si="61"/>
        <v>976.85714285714289</v>
      </c>
      <c r="H291">
        <f t="shared" si="62"/>
        <v>0.32629689466675249</v>
      </c>
      <c r="I291">
        <f t="shared" si="63"/>
        <v>1.2401634313249481E-3</v>
      </c>
      <c r="K291">
        <f t="shared" si="66"/>
        <v>821417.44819512602</v>
      </c>
      <c r="L291">
        <f t="shared" si="67"/>
        <v>12387.286491192273</v>
      </c>
      <c r="M291">
        <f t="shared" si="56"/>
        <v>484739.10402911366</v>
      </c>
      <c r="N291">
        <f t="shared" si="68"/>
        <v>1786489.0131843793</v>
      </c>
    </row>
    <row r="292" spans="1:14" x14ac:dyDescent="0.25">
      <c r="A292" s="1">
        <v>44485</v>
      </c>
      <c r="B292">
        <v>472331</v>
      </c>
      <c r="C292">
        <f t="shared" si="64"/>
        <v>2456</v>
      </c>
      <c r="D292">
        <f t="shared" si="65"/>
        <v>10602</v>
      </c>
      <c r="E292">
        <v>1856973</v>
      </c>
      <c r="F292">
        <f t="shared" si="60"/>
        <v>869733</v>
      </c>
      <c r="G292">
        <f t="shared" si="61"/>
        <v>976.85714285714289</v>
      </c>
      <c r="H292">
        <f t="shared" si="62"/>
        <v>0.33890390346177884</v>
      </c>
      <c r="I292">
        <f t="shared" si="63"/>
        <v>1.6556805364404938E-4</v>
      </c>
      <c r="K292">
        <f t="shared" si="66"/>
        <v>818899.69291947922</v>
      </c>
      <c r="L292">
        <f t="shared" si="67"/>
        <v>12258.46983638028</v>
      </c>
      <c r="M292">
        <f t="shared" ref="M292:M355" si="69">M291+(L291/10)</f>
        <v>485977.83267823287</v>
      </c>
      <c r="N292">
        <f t="shared" si="68"/>
        <v>1787896.8564657189</v>
      </c>
    </row>
    <row r="293" spans="1:14" x14ac:dyDescent="0.25">
      <c r="A293" s="1">
        <v>44486</v>
      </c>
      <c r="B293">
        <v>472331</v>
      </c>
      <c r="C293">
        <f t="shared" si="64"/>
        <v>0</v>
      </c>
      <c r="D293">
        <f t="shared" si="65"/>
        <v>10602</v>
      </c>
      <c r="E293">
        <v>1857117</v>
      </c>
      <c r="F293">
        <f t="shared" si="60"/>
        <v>869589</v>
      </c>
      <c r="G293">
        <f t="shared" si="61"/>
        <v>974.57142857142856</v>
      </c>
      <c r="H293">
        <f t="shared" si="62"/>
        <v>0.33816690356060597</v>
      </c>
      <c r="I293">
        <f t="shared" si="63"/>
        <v>1.966446217695946E-4</v>
      </c>
      <c r="K293">
        <f t="shared" si="66"/>
        <v>816401.16161326133</v>
      </c>
      <c r="L293">
        <f t="shared" si="67"/>
        <v>12127.626107174847</v>
      </c>
      <c r="M293">
        <f t="shared" si="69"/>
        <v>487203.67966187088</v>
      </c>
      <c r="N293">
        <f t="shared" si="68"/>
        <v>1789300.3845175041</v>
      </c>
    </row>
    <row r="294" spans="1:14" x14ac:dyDescent="0.25">
      <c r="A294" s="1">
        <v>44487</v>
      </c>
      <c r="B294">
        <v>472331</v>
      </c>
      <c r="C294">
        <f t="shared" si="64"/>
        <v>0</v>
      </c>
      <c r="D294">
        <f t="shared" si="65"/>
        <v>10602</v>
      </c>
      <c r="E294">
        <v>1857288</v>
      </c>
      <c r="F294">
        <f t="shared" si="60"/>
        <v>869418</v>
      </c>
      <c r="G294">
        <f t="shared" si="61"/>
        <v>974.57142857142856</v>
      </c>
      <c r="H294">
        <f t="shared" si="62"/>
        <v>0.3382334153426359</v>
      </c>
      <c r="I294">
        <f t="shared" si="63"/>
        <v>4.5858263804062025E-3</v>
      </c>
      <c r="K294">
        <f t="shared" si="66"/>
        <v>813921.90565505868</v>
      </c>
      <c r="L294">
        <f t="shared" si="67"/>
        <v>11994.873684095277</v>
      </c>
      <c r="M294">
        <f t="shared" si="69"/>
        <v>488416.44227258838</v>
      </c>
      <c r="N294">
        <f t="shared" si="68"/>
        <v>1790699.6302880689</v>
      </c>
    </row>
    <row r="295" spans="1:14" x14ac:dyDescent="0.25">
      <c r="A295" s="1">
        <v>44488</v>
      </c>
      <c r="B295">
        <v>474216</v>
      </c>
      <c r="C295">
        <f t="shared" si="64"/>
        <v>1885</v>
      </c>
      <c r="D295">
        <f t="shared" si="65"/>
        <v>9419</v>
      </c>
      <c r="E295">
        <v>1861275</v>
      </c>
      <c r="F295">
        <f t="shared" si="60"/>
        <v>863546</v>
      </c>
      <c r="G295">
        <f t="shared" si="61"/>
        <v>974.57142857142856</v>
      </c>
      <c r="H295">
        <f t="shared" si="62"/>
        <v>0.38330339373638989</v>
      </c>
      <c r="I295">
        <f t="shared" si="63"/>
        <v>1.3178220963330268E-3</v>
      </c>
      <c r="K295">
        <f t="shared" si="66"/>
        <v>811461.96492370148</v>
      </c>
      <c r="L295">
        <f t="shared" si="67"/>
        <v>11860.330521306312</v>
      </c>
      <c r="M295">
        <f t="shared" si="69"/>
        <v>489615.9296409979</v>
      </c>
      <c r="N295">
        <f t="shared" si="68"/>
        <v>1792094.6268138054</v>
      </c>
    </row>
    <row r="296" spans="1:14" x14ac:dyDescent="0.25">
      <c r="A296" s="1">
        <v>44489</v>
      </c>
      <c r="B296">
        <v>476713</v>
      </c>
      <c r="C296">
        <f t="shared" si="64"/>
        <v>2497</v>
      </c>
      <c r="D296">
        <f t="shared" si="65"/>
        <v>11916</v>
      </c>
      <c r="E296">
        <v>1862413</v>
      </c>
      <c r="F296">
        <f t="shared" si="60"/>
        <v>859911</v>
      </c>
      <c r="G296">
        <f t="shared" si="61"/>
        <v>998.71428571428567</v>
      </c>
      <c r="H296">
        <f t="shared" si="62"/>
        <v>0.31180029822400651</v>
      </c>
      <c r="I296">
        <f t="shared" si="63"/>
        <v>1.6617998839414776E-3</v>
      </c>
      <c r="K296">
        <f t="shared" si="66"/>
        <v>809021.36802617903</v>
      </c>
      <c r="L296">
        <f t="shared" si="67"/>
        <v>11724.113981048153</v>
      </c>
      <c r="M296">
        <f t="shared" si="69"/>
        <v>490801.9626931285</v>
      </c>
      <c r="N296">
        <f t="shared" si="68"/>
        <v>1793485.4071994554</v>
      </c>
    </row>
    <row r="297" spans="1:14" x14ac:dyDescent="0.25">
      <c r="A297" s="1">
        <v>44490</v>
      </c>
      <c r="B297">
        <v>476713</v>
      </c>
      <c r="C297">
        <f t="shared" si="64"/>
        <v>0</v>
      </c>
      <c r="D297">
        <f t="shared" si="65"/>
        <v>11916</v>
      </c>
      <c r="E297">
        <v>1863842</v>
      </c>
      <c r="F297">
        <f t="shared" si="60"/>
        <v>858482</v>
      </c>
      <c r="G297">
        <f t="shared" si="61"/>
        <v>1003.2857142857143</v>
      </c>
      <c r="H297">
        <f t="shared" si="62"/>
        <v>0.31374889387273502</v>
      </c>
      <c r="I297">
        <f t="shared" si="63"/>
        <v>3.8835991901985134E-3</v>
      </c>
      <c r="K297">
        <f t="shared" si="66"/>
        <v>806600.1325356731</v>
      </c>
      <c r="L297">
        <f t="shared" si="67"/>
        <v>11586.340674114168</v>
      </c>
      <c r="M297">
        <f t="shared" si="69"/>
        <v>491974.3740912333</v>
      </c>
      <c r="N297">
        <f t="shared" si="68"/>
        <v>1794872.0045987905</v>
      </c>
    </row>
    <row r="298" spans="1:14" x14ac:dyDescent="0.25">
      <c r="A298" s="1">
        <v>44491</v>
      </c>
      <c r="B298">
        <v>476713</v>
      </c>
      <c r="C298">
        <f t="shared" si="64"/>
        <v>0</v>
      </c>
      <c r="D298">
        <f t="shared" si="65"/>
        <v>9254</v>
      </c>
      <c r="E298">
        <v>1867176</v>
      </c>
      <c r="F298">
        <f t="shared" si="60"/>
        <v>855148</v>
      </c>
      <c r="G298">
        <f t="shared" si="61"/>
        <v>1003.2857142857143</v>
      </c>
      <c r="H298">
        <f t="shared" si="62"/>
        <v>0.40557680722492917</v>
      </c>
      <c r="I298">
        <f t="shared" si="63"/>
        <v>1.7061374171488445E-3</v>
      </c>
      <c r="K298">
        <f t="shared" si="66"/>
        <v>804198.26523887774</v>
      </c>
      <c r="L298">
        <f t="shared" si="67"/>
        <v>11447.126306587261</v>
      </c>
      <c r="M298">
        <f t="shared" si="69"/>
        <v>493133.00815864472</v>
      </c>
      <c r="N298">
        <f t="shared" si="68"/>
        <v>1796254.4521957014</v>
      </c>
    </row>
    <row r="299" spans="1:14" x14ac:dyDescent="0.25">
      <c r="A299" s="1">
        <v>44492</v>
      </c>
      <c r="B299">
        <v>479153</v>
      </c>
      <c r="C299">
        <f t="shared" si="64"/>
        <v>2440</v>
      </c>
      <c r="D299">
        <f t="shared" si="65"/>
        <v>9278</v>
      </c>
      <c r="E299">
        <v>1868635</v>
      </c>
      <c r="F299">
        <f t="shared" si="60"/>
        <v>851249</v>
      </c>
      <c r="G299">
        <f t="shared" si="61"/>
        <v>1003.2857142857143</v>
      </c>
      <c r="H299">
        <f t="shared" si="62"/>
        <v>0.40638054519827932</v>
      </c>
      <c r="I299">
        <f t="shared" si="63"/>
        <v>1.4449356181328848E-4</v>
      </c>
      <c r="K299">
        <f t="shared" si="66"/>
        <v>801815.7623917805</v>
      </c>
      <c r="L299">
        <f t="shared" si="67"/>
        <v>11306.585533016681</v>
      </c>
      <c r="M299">
        <f t="shared" si="69"/>
        <v>494277.72078930342</v>
      </c>
      <c r="N299">
        <f t="shared" si="68"/>
        <v>1797632.7831857104</v>
      </c>
    </row>
    <row r="300" spans="1:14" x14ac:dyDescent="0.25">
      <c r="A300" s="1">
        <v>44493</v>
      </c>
      <c r="B300">
        <v>479153</v>
      </c>
      <c r="C300">
        <f t="shared" si="64"/>
        <v>0</v>
      </c>
      <c r="D300">
        <f t="shared" si="65"/>
        <v>9278</v>
      </c>
      <c r="E300">
        <v>1868758</v>
      </c>
      <c r="F300">
        <f t="shared" si="60"/>
        <v>851126</v>
      </c>
      <c r="G300">
        <f t="shared" si="61"/>
        <v>997</v>
      </c>
      <c r="H300">
        <f t="shared" si="62"/>
        <v>0.40389287863610163</v>
      </c>
      <c r="I300">
        <f t="shared" si="63"/>
        <v>1.3981478652984401E-4</v>
      </c>
      <c r="K300">
        <f t="shared" si="66"/>
        <v>799452.60998309392</v>
      </c>
      <c r="L300">
        <f t="shared" si="67"/>
        <v>11164.831816188647</v>
      </c>
      <c r="M300">
        <f t="shared" si="69"/>
        <v>495408.37934260507</v>
      </c>
      <c r="N300">
        <f t="shared" si="68"/>
        <v>1799007.0307579234</v>
      </c>
    </row>
    <row r="301" spans="1:14" x14ac:dyDescent="0.25">
      <c r="A301" s="1">
        <v>44494</v>
      </c>
      <c r="B301">
        <v>479153</v>
      </c>
      <c r="C301">
        <f t="shared" si="64"/>
        <v>0</v>
      </c>
      <c r="D301">
        <f t="shared" si="65"/>
        <v>9278</v>
      </c>
      <c r="E301">
        <v>1868877</v>
      </c>
      <c r="F301">
        <f t="shared" si="60"/>
        <v>851007</v>
      </c>
      <c r="G301">
        <f t="shared" si="61"/>
        <v>997</v>
      </c>
      <c r="H301">
        <f t="shared" si="62"/>
        <v>0.40394935672918153</v>
      </c>
      <c r="I301">
        <f t="shared" si="63"/>
        <v>4.6309842339722239E-3</v>
      </c>
      <c r="K301">
        <f t="shared" si="66"/>
        <v>797108.78400453948</v>
      </c>
      <c r="L301">
        <f t="shared" si="67"/>
        <v>11021.977293616137</v>
      </c>
      <c r="M301">
        <f t="shared" si="69"/>
        <v>496524.86252422392</v>
      </c>
      <c r="N301">
        <f t="shared" si="68"/>
        <v>1800377.2280774314</v>
      </c>
    </row>
    <row r="302" spans="1:14" x14ac:dyDescent="0.25">
      <c r="A302" s="1">
        <v>44495</v>
      </c>
      <c r="B302">
        <v>481207</v>
      </c>
      <c r="C302">
        <f t="shared" si="64"/>
        <v>2054</v>
      </c>
      <c r="D302">
        <f t="shared" si="65"/>
        <v>8876</v>
      </c>
      <c r="E302">
        <v>1872818</v>
      </c>
      <c r="F302">
        <f t="shared" si="60"/>
        <v>845012</v>
      </c>
      <c r="G302">
        <f t="shared" si="61"/>
        <v>997</v>
      </c>
      <c r="H302">
        <f t="shared" si="62"/>
        <v>0.4252401390655618</v>
      </c>
      <c r="I302">
        <f t="shared" si="63"/>
        <v>2.2307375516560711E-3</v>
      </c>
      <c r="K302">
        <f t="shared" si="66"/>
        <v>794784.25072720146</v>
      </c>
      <c r="L302">
        <f t="shared" si="67"/>
        <v>10878.132650846259</v>
      </c>
      <c r="M302">
        <f t="shared" si="69"/>
        <v>497627.06025358551</v>
      </c>
      <c r="N302">
        <f t="shared" si="68"/>
        <v>1801743.4082681779</v>
      </c>
    </row>
    <row r="303" spans="1:14" x14ac:dyDescent="0.25">
      <c r="A303" s="1">
        <v>44496</v>
      </c>
      <c r="B303">
        <v>483736</v>
      </c>
      <c r="C303">
        <f t="shared" si="64"/>
        <v>2529</v>
      </c>
      <c r="D303">
        <f t="shared" si="65"/>
        <v>11405</v>
      </c>
      <c r="E303">
        <v>1874703</v>
      </c>
      <c r="F303">
        <f t="shared" si="60"/>
        <v>840598</v>
      </c>
      <c r="G303">
        <f t="shared" si="61"/>
        <v>1096.8571428571429</v>
      </c>
      <c r="H303">
        <f t="shared" si="62"/>
        <v>0.36600387963867276</v>
      </c>
      <c r="I303">
        <f t="shared" si="63"/>
        <v>3.1061220702404716E-3</v>
      </c>
      <c r="K303">
        <f t="shared" si="66"/>
        <v>792478.96698318678</v>
      </c>
      <c r="L303">
        <f t="shared" si="67"/>
        <v>10733.407001657271</v>
      </c>
      <c r="M303">
        <f t="shared" si="69"/>
        <v>498714.87351867015</v>
      </c>
      <c r="N303">
        <f t="shared" si="68"/>
        <v>1803105.6043962969</v>
      </c>
    </row>
    <row r="304" spans="1:14" x14ac:dyDescent="0.25">
      <c r="A304" s="1">
        <v>44497</v>
      </c>
      <c r="B304">
        <v>483736</v>
      </c>
      <c r="C304">
        <f t="shared" si="64"/>
        <v>0</v>
      </c>
      <c r="D304">
        <f t="shared" si="65"/>
        <v>11405</v>
      </c>
      <c r="E304">
        <v>1877314</v>
      </c>
      <c r="F304">
        <f t="shared" si="60"/>
        <v>837987</v>
      </c>
      <c r="G304">
        <f t="shared" si="61"/>
        <v>1103.8571428571429</v>
      </c>
      <c r="H304">
        <f t="shared" si="62"/>
        <v>0.36948734170678438</v>
      </c>
      <c r="I304">
        <f t="shared" si="63"/>
        <v>1.6002634885744051E-3</v>
      </c>
      <c r="K304">
        <f t="shared" si="66"/>
        <v>790192.88045184629</v>
      </c>
      <c r="L304">
        <f t="shared" si="67"/>
        <v>10587.907775192141</v>
      </c>
      <c r="M304">
        <f t="shared" si="69"/>
        <v>499788.21421883587</v>
      </c>
      <c r="N304">
        <f t="shared" si="68"/>
        <v>1804463.8494539368</v>
      </c>
    </row>
    <row r="305" spans="1:14" x14ac:dyDescent="0.25">
      <c r="A305" s="1">
        <v>44498</v>
      </c>
      <c r="B305">
        <v>483736</v>
      </c>
      <c r="C305">
        <f t="shared" si="64"/>
        <v>0</v>
      </c>
      <c r="D305">
        <f t="shared" si="65"/>
        <v>9520</v>
      </c>
      <c r="E305">
        <v>1878655</v>
      </c>
      <c r="F305">
        <f t="shared" si="60"/>
        <v>836646</v>
      </c>
      <c r="G305">
        <f t="shared" si="61"/>
        <v>1103.8571428571429</v>
      </c>
      <c r="H305">
        <f t="shared" si="62"/>
        <v>0.44335687565306603</v>
      </c>
      <c r="I305">
        <f t="shared" si="63"/>
        <v>3.0514697972619242E-3</v>
      </c>
      <c r="K305">
        <f t="shared" si="66"/>
        <v>787925.92994983227</v>
      </c>
      <c r="L305">
        <f t="shared" si="67"/>
        <v>10441.740610051249</v>
      </c>
      <c r="M305">
        <f t="shared" si="69"/>
        <v>500847.0049963551</v>
      </c>
      <c r="N305">
        <f t="shared" si="68"/>
        <v>1805818.1763435723</v>
      </c>
    </row>
    <row r="306" spans="1:14" x14ac:dyDescent="0.25">
      <c r="A306" s="1">
        <v>44499</v>
      </c>
      <c r="B306">
        <v>486132</v>
      </c>
      <c r="C306">
        <f t="shared" si="64"/>
        <v>2396</v>
      </c>
      <c r="D306">
        <f t="shared" si="65"/>
        <v>9419</v>
      </c>
      <c r="E306">
        <v>1881208</v>
      </c>
      <c r="F306">
        <f t="shared" si="60"/>
        <v>831697</v>
      </c>
      <c r="G306">
        <f t="shared" si="61"/>
        <v>1103.8571428571429</v>
      </c>
      <c r="H306">
        <f t="shared" si="62"/>
        <v>0.45077747186481149</v>
      </c>
      <c r="I306">
        <f t="shared" si="63"/>
        <v>4.5329008040187712E-4</v>
      </c>
      <c r="K306">
        <f t="shared" si="66"/>
        <v>785678.04572429194</v>
      </c>
      <c r="L306">
        <f t="shared" si="67"/>
        <v>10295.009255343697</v>
      </c>
      <c r="M306">
        <f t="shared" si="69"/>
        <v>501891.17905736022</v>
      </c>
      <c r="N306">
        <f t="shared" si="68"/>
        <v>1807168.617862815</v>
      </c>
    </row>
    <row r="307" spans="1:14" x14ac:dyDescent="0.25">
      <c r="A307" s="1">
        <v>44500</v>
      </c>
      <c r="B307">
        <v>486132</v>
      </c>
      <c r="C307">
        <f t="shared" si="64"/>
        <v>0</v>
      </c>
      <c r="D307">
        <f t="shared" si="65"/>
        <v>9419</v>
      </c>
      <c r="E307">
        <v>1881585</v>
      </c>
      <c r="F307">
        <f t="shared" si="60"/>
        <v>831320</v>
      </c>
      <c r="G307">
        <f t="shared" si="61"/>
        <v>1182.1428571428571</v>
      </c>
      <c r="H307">
        <f t="shared" si="62"/>
        <v>0.48296560135777655</v>
      </c>
      <c r="I307">
        <f t="shared" si="63"/>
        <v>1.8284174565750855E-4</v>
      </c>
      <c r="K307">
        <f t="shared" si="66"/>
        <v>783449.14974851604</v>
      </c>
      <c r="L307">
        <f t="shared" si="67"/>
        <v>10147.815478674685</v>
      </c>
      <c r="M307">
        <f t="shared" si="69"/>
        <v>502920.67998289457</v>
      </c>
      <c r="N307">
        <f t="shared" si="68"/>
        <v>1808515.2066897256</v>
      </c>
    </row>
    <row r="308" spans="1:14" x14ac:dyDescent="0.25">
      <c r="A308" s="1">
        <v>44501</v>
      </c>
      <c r="B308">
        <v>486132</v>
      </c>
      <c r="C308">
        <f t="shared" si="64"/>
        <v>0</v>
      </c>
      <c r="D308">
        <f t="shared" si="65"/>
        <v>9419</v>
      </c>
      <c r="E308">
        <v>1881737</v>
      </c>
      <c r="F308">
        <f t="shared" si="60"/>
        <v>831168</v>
      </c>
      <c r="G308">
        <f t="shared" si="61"/>
        <v>1182.1428571428571</v>
      </c>
      <c r="H308">
        <f t="shared" si="62"/>
        <v>0.48305392378044726</v>
      </c>
      <c r="I308">
        <f t="shared" si="63"/>
        <v>5.2396146146146145E-3</v>
      </c>
      <c r="K308">
        <f>K307-($R$14*K307*L307/$B$1)-($S$14*K307)</f>
        <v>779002.62626788358</v>
      </c>
      <c r="L308">
        <f>L307+($R$14*K307*L307/$B$1)-(L307/10)</f>
        <v>10294.067511775515</v>
      </c>
      <c r="M308">
        <f t="shared" si="69"/>
        <v>503935.46153076203</v>
      </c>
      <c r="N308">
        <f>N307+($S$14*K307)</f>
        <v>1811800.6965893898</v>
      </c>
    </row>
    <row r="309" spans="1:14" x14ac:dyDescent="0.25">
      <c r="A309" s="1">
        <v>44502</v>
      </c>
      <c r="B309">
        <v>488885</v>
      </c>
      <c r="C309">
        <f t="shared" si="64"/>
        <v>2753</v>
      </c>
      <c r="D309">
        <f t="shared" si="65"/>
        <v>9732</v>
      </c>
      <c r="E309">
        <v>1886092</v>
      </c>
      <c r="F309">
        <f t="shared" si="60"/>
        <v>824060</v>
      </c>
      <c r="G309">
        <f t="shared" si="61"/>
        <v>1182.1428571428571</v>
      </c>
      <c r="H309">
        <f t="shared" si="62"/>
        <v>0.47155058872266392</v>
      </c>
      <c r="I309">
        <f t="shared" si="63"/>
        <v>2.0823726427687305E-3</v>
      </c>
      <c r="K309">
        <f t="shared" ref="K309:K337" si="70">K308-($R$14*K308*L308/$B$1)-($S$14*K308)</f>
        <v>774564.70131658902</v>
      </c>
      <c r="L309">
        <f t="shared" ref="L309:L337" si="71">L308+($R$14*K308*L308/$B$1)-(L308/10)</f>
        <v>10435.742852676143</v>
      </c>
      <c r="M309">
        <f t="shared" si="69"/>
        <v>504964.86828193959</v>
      </c>
      <c r="N309">
        <f t="shared" ref="N309:N337" si="72">N308+($S$14*K308)</f>
        <v>1815067.5394486061</v>
      </c>
    </row>
    <row r="310" spans="1:14" x14ac:dyDescent="0.25">
      <c r="A310" s="1">
        <v>44503</v>
      </c>
      <c r="B310">
        <v>491463</v>
      </c>
      <c r="C310">
        <f t="shared" si="64"/>
        <v>2578</v>
      </c>
      <c r="D310">
        <f t="shared" si="65"/>
        <v>12310</v>
      </c>
      <c r="E310">
        <v>1887808</v>
      </c>
      <c r="F310">
        <f t="shared" si="60"/>
        <v>819766</v>
      </c>
      <c r="G310">
        <f t="shared" si="61"/>
        <v>1251.8571428571429</v>
      </c>
      <c r="H310">
        <f t="shared" si="62"/>
        <v>0.39684972164326726</v>
      </c>
      <c r="I310">
        <f t="shared" si="63"/>
        <v>1.9285991368268507E-3</v>
      </c>
      <c r="K310">
        <f t="shared" si="70"/>
        <v>770136.0333558768</v>
      </c>
      <c r="L310">
        <f t="shared" si="71"/>
        <v>10572.604650367171</v>
      </c>
      <c r="M310">
        <f t="shared" si="69"/>
        <v>506008.44256720721</v>
      </c>
      <c r="N310">
        <f t="shared" si="72"/>
        <v>1818315.7713263596</v>
      </c>
    </row>
    <row r="311" spans="1:14" x14ac:dyDescent="0.25">
      <c r="A311" s="1">
        <v>44504</v>
      </c>
      <c r="B311">
        <v>491463</v>
      </c>
      <c r="C311">
        <f t="shared" si="64"/>
        <v>0</v>
      </c>
      <c r="D311">
        <f t="shared" si="65"/>
        <v>12310</v>
      </c>
      <c r="E311">
        <v>1889389</v>
      </c>
      <c r="F311">
        <f t="shared" si="60"/>
        <v>818185</v>
      </c>
      <c r="G311">
        <f t="shared" si="61"/>
        <v>1287.2857142857142</v>
      </c>
      <c r="H311">
        <f t="shared" si="62"/>
        <v>0.40886943554372601</v>
      </c>
      <c r="I311">
        <f t="shared" si="63"/>
        <v>3.5664305749922086E-3</v>
      </c>
      <c r="K311">
        <f t="shared" si="70"/>
        <v>765717.29427497333</v>
      </c>
      <c r="L311">
        <f t="shared" si="71"/>
        <v>10704.423549620024</v>
      </c>
      <c r="M311">
        <f t="shared" si="69"/>
        <v>507065.70303224394</v>
      </c>
      <c r="N311">
        <f t="shared" si="72"/>
        <v>1821545.4310429734</v>
      </c>
    </row>
    <row r="312" spans="1:14" x14ac:dyDescent="0.25">
      <c r="A312" s="1">
        <v>44505</v>
      </c>
      <c r="B312">
        <v>491463</v>
      </c>
      <c r="C312">
        <f t="shared" si="64"/>
        <v>0</v>
      </c>
      <c r="D312">
        <f t="shared" si="65"/>
        <v>10256</v>
      </c>
      <c r="E312">
        <v>1892307</v>
      </c>
      <c r="F312">
        <f t="shared" si="60"/>
        <v>815267</v>
      </c>
      <c r="G312">
        <f t="shared" si="61"/>
        <v>1287.2857142857142</v>
      </c>
      <c r="H312">
        <f t="shared" si="62"/>
        <v>0.49251145639001082</v>
      </c>
      <c r="I312">
        <f t="shared" si="63"/>
        <v>3.0824257574512399E-3</v>
      </c>
      <c r="K312">
        <f t="shared" si="70"/>
        <v>761309.16784773592</v>
      </c>
      <c r="L312">
        <f t="shared" si="71"/>
        <v>10830.978428448427</v>
      </c>
      <c r="M312">
        <f t="shared" si="69"/>
        <v>508136.14538720594</v>
      </c>
      <c r="N312">
        <f t="shared" si="72"/>
        <v>1824756.5602364205</v>
      </c>
    </row>
    <row r="313" spans="1:14" x14ac:dyDescent="0.25">
      <c r="A313" s="1">
        <v>44506</v>
      </c>
      <c r="B313">
        <v>494407</v>
      </c>
      <c r="C313">
        <f t="shared" si="64"/>
        <v>2944</v>
      </c>
      <c r="D313">
        <f t="shared" si="65"/>
        <v>10671</v>
      </c>
      <c r="E313">
        <v>1894820</v>
      </c>
      <c r="F313">
        <f t="shared" si="60"/>
        <v>809810</v>
      </c>
      <c r="G313">
        <f t="shared" si="61"/>
        <v>1287.2857142857142</v>
      </c>
      <c r="H313">
        <f t="shared" si="62"/>
        <v>0.47654723883384081</v>
      </c>
      <c r="I313">
        <f t="shared" si="63"/>
        <v>5.0999617194156654E-4</v>
      </c>
      <c r="K313">
        <f t="shared" si="70"/>
        <v>756912.34814716945</v>
      </c>
      <c r="L313">
        <f t="shared" si="71"/>
        <v>10952.057110428064</v>
      </c>
      <c r="M313">
        <f t="shared" si="69"/>
        <v>509219.24323005078</v>
      </c>
      <c r="N313">
        <f t="shared" si="72"/>
        <v>1827949.2034121626</v>
      </c>
    </row>
    <row r="314" spans="1:14" x14ac:dyDescent="0.25">
      <c r="A314" s="1">
        <v>44507</v>
      </c>
      <c r="B314">
        <v>494407</v>
      </c>
      <c r="C314">
        <f t="shared" si="64"/>
        <v>0</v>
      </c>
      <c r="D314">
        <f t="shared" si="65"/>
        <v>10671</v>
      </c>
      <c r="E314">
        <v>1895233</v>
      </c>
      <c r="F314">
        <f t="shared" si="60"/>
        <v>809397</v>
      </c>
      <c r="G314">
        <f t="shared" si="61"/>
        <v>1308.1428571428571</v>
      </c>
      <c r="H314">
        <f t="shared" si="62"/>
        <v>0.48451555807703339</v>
      </c>
      <c r="I314">
        <f t="shared" si="63"/>
        <v>1.7420375909473349E-4</v>
      </c>
      <c r="K314">
        <f t="shared" si="70"/>
        <v>752527.53792427038</v>
      </c>
      <c r="L314">
        <f t="shared" si="71"/>
        <v>11067.457048105018</v>
      </c>
      <c r="M314">
        <f t="shared" si="69"/>
        <v>510314.44894109358</v>
      </c>
      <c r="N314">
        <f t="shared" si="72"/>
        <v>1831123.407986342</v>
      </c>
    </row>
    <row r="315" spans="1:14" x14ac:dyDescent="0.25">
      <c r="A315" s="1">
        <v>44508</v>
      </c>
      <c r="B315">
        <v>494407</v>
      </c>
      <c r="C315">
        <f t="shared" si="64"/>
        <v>0</v>
      </c>
      <c r="D315">
        <f t="shared" si="65"/>
        <v>10671</v>
      </c>
      <c r="E315">
        <v>1895374</v>
      </c>
      <c r="F315">
        <f t="shared" si="60"/>
        <v>809256</v>
      </c>
      <c r="G315">
        <f t="shared" si="61"/>
        <v>1308.1428571428571</v>
      </c>
      <c r="H315">
        <f t="shared" si="62"/>
        <v>0.48459997721472142</v>
      </c>
      <c r="I315">
        <f t="shared" si="63"/>
        <v>1.0649287740838499E-2</v>
      </c>
      <c r="K315">
        <f t="shared" si="70"/>
        <v>748155.44695786422</v>
      </c>
      <c r="L315">
        <f t="shared" si="71"/>
        <v>11176.985973869541</v>
      </c>
      <c r="M315">
        <f t="shared" si="69"/>
        <v>511421.19464590406</v>
      </c>
      <c r="N315">
        <f t="shared" si="72"/>
        <v>1834279.224322173</v>
      </c>
    </row>
    <row r="316" spans="1:14" x14ac:dyDescent="0.25">
      <c r="A316" s="1">
        <v>44509</v>
      </c>
      <c r="B316">
        <v>497648</v>
      </c>
      <c r="C316">
        <f t="shared" si="64"/>
        <v>3241</v>
      </c>
      <c r="D316">
        <f t="shared" si="65"/>
        <v>11516</v>
      </c>
      <c r="E316">
        <v>1903992</v>
      </c>
      <c r="F316">
        <f t="shared" si="60"/>
        <v>797397</v>
      </c>
      <c r="G316">
        <f t="shared" si="61"/>
        <v>1308.1428571428571</v>
      </c>
      <c r="H316">
        <f t="shared" si="62"/>
        <v>0.45572009969180383</v>
      </c>
      <c r="I316">
        <f t="shared" si="63"/>
        <v>4.6150161086635638E-3</v>
      </c>
      <c r="K316">
        <f t="shared" si="70"/>
        <v>743796.79038225801</v>
      </c>
      <c r="L316">
        <f t="shared" si="71"/>
        <v>11280.462514847013</v>
      </c>
      <c r="M316">
        <f t="shared" si="69"/>
        <v>512538.89324329101</v>
      </c>
      <c r="N316">
        <f t="shared" si="72"/>
        <v>1837416.7057594149</v>
      </c>
    </row>
    <row r="317" spans="1:14" x14ac:dyDescent="0.25">
      <c r="A317" s="1">
        <v>44510</v>
      </c>
      <c r="B317">
        <v>500474</v>
      </c>
      <c r="C317">
        <f t="shared" si="64"/>
        <v>2826</v>
      </c>
      <c r="D317">
        <f t="shared" si="65"/>
        <v>14342</v>
      </c>
      <c r="E317">
        <v>1907672</v>
      </c>
      <c r="F317">
        <f t="shared" si="60"/>
        <v>790891</v>
      </c>
      <c r="G317">
        <f t="shared" si="61"/>
        <v>1270</v>
      </c>
      <c r="H317">
        <f t="shared" si="62"/>
        <v>0.35817612402310212</v>
      </c>
      <c r="I317">
        <f t="shared" si="63"/>
        <v>3.2191540932947778E-3</v>
      </c>
      <c r="K317">
        <f t="shared" si="70"/>
        <v>739452.2869996446</v>
      </c>
      <c r="L317">
        <f t="shared" si="71"/>
        <v>11377.716768561073</v>
      </c>
      <c r="M317">
        <f t="shared" si="69"/>
        <v>513666.93949477572</v>
      </c>
      <c r="N317">
        <f t="shared" si="72"/>
        <v>1840535.9086368296</v>
      </c>
    </row>
    <row r="318" spans="1:14" x14ac:dyDescent="0.25">
      <c r="A318" s="1">
        <v>44511</v>
      </c>
      <c r="B318">
        <v>500474</v>
      </c>
      <c r="C318">
        <f t="shared" si="64"/>
        <v>0</v>
      </c>
      <c r="D318">
        <f t="shared" si="65"/>
        <v>14342</v>
      </c>
      <c r="E318">
        <f>(E319+E317)/2</f>
        <v>1910218</v>
      </c>
      <c r="F318">
        <f t="shared" si="60"/>
        <v>788345</v>
      </c>
      <c r="G318">
        <f t="shared" si="61"/>
        <v>1326.7142857142858</v>
      </c>
      <c r="H318">
        <f t="shared" si="62"/>
        <v>0.3753795704628588</v>
      </c>
      <c r="I318">
        <f t="shared" si="63"/>
        <v>3.2295505140515889E-3</v>
      </c>
      <c r="K318">
        <f t="shared" si="70"/>
        <v>735122.65758426173</v>
      </c>
      <c r="L318">
        <f t="shared" si="71"/>
        <v>11468.590836353429</v>
      </c>
      <c r="M318">
        <f t="shared" si="69"/>
        <v>514804.71117163182</v>
      </c>
      <c r="N318">
        <f t="shared" si="72"/>
        <v>1843636.8923075642</v>
      </c>
    </row>
    <row r="319" spans="1:14" x14ac:dyDescent="0.25">
      <c r="A319" s="1">
        <v>44512</v>
      </c>
      <c r="B319">
        <v>500474</v>
      </c>
      <c r="C319">
        <f t="shared" si="64"/>
        <v>0</v>
      </c>
      <c r="D319">
        <f t="shared" si="65"/>
        <v>11589</v>
      </c>
      <c r="E319">
        <v>1912764</v>
      </c>
      <c r="F319">
        <f t="shared" si="60"/>
        <v>785799</v>
      </c>
      <c r="G319">
        <f t="shared" si="61"/>
        <v>1326.7142857142858</v>
      </c>
      <c r="H319">
        <f t="shared" si="62"/>
        <v>0.46605721326230382</v>
      </c>
      <c r="I319">
        <f t="shared" si="63"/>
        <v>1.2224500158437464E-2</v>
      </c>
      <c r="K319">
        <f t="shared" si="70"/>
        <v>730808.62318532495</v>
      </c>
      <c r="L319">
        <f t="shared" si="71"/>
        <v>11552.939311798455</v>
      </c>
      <c r="M319">
        <f t="shared" si="69"/>
        <v>515951.57025526714</v>
      </c>
      <c r="N319">
        <f t="shared" si="72"/>
        <v>1846719.7191474205</v>
      </c>
    </row>
    <row r="320" spans="1:14" x14ac:dyDescent="0.25">
      <c r="A320" s="1">
        <v>44513</v>
      </c>
      <c r="B320">
        <v>503564</v>
      </c>
      <c r="C320">
        <f t="shared" si="64"/>
        <v>3090</v>
      </c>
      <c r="D320">
        <f t="shared" si="65"/>
        <v>12101</v>
      </c>
      <c r="E320">
        <v>1922370</v>
      </c>
      <c r="F320">
        <f t="shared" si="60"/>
        <v>773103</v>
      </c>
      <c r="G320">
        <f t="shared" si="61"/>
        <v>1326.7142857142858</v>
      </c>
      <c r="H320">
        <f t="shared" si="62"/>
        <v>0.45366789797337842</v>
      </c>
      <c r="I320">
        <f t="shared" si="63"/>
        <v>4.1650336371738307E-4</v>
      </c>
      <c r="K320">
        <f t="shared" si="70"/>
        <v>726510.90343572863</v>
      </c>
      <c r="L320">
        <f t="shared" si="71"/>
        <v>11630.629721626367</v>
      </c>
      <c r="M320">
        <f t="shared" si="69"/>
        <v>517106.864186447</v>
      </c>
      <c r="N320">
        <f t="shared" si="72"/>
        <v>1849784.454556009</v>
      </c>
    </row>
    <row r="321" spans="1:14" x14ac:dyDescent="0.25">
      <c r="A321" s="1">
        <v>44514</v>
      </c>
      <c r="B321">
        <v>503564</v>
      </c>
      <c r="C321">
        <f t="shared" si="64"/>
        <v>0</v>
      </c>
      <c r="D321">
        <f t="shared" si="65"/>
        <v>12101</v>
      </c>
      <c r="E321">
        <v>1922692</v>
      </c>
      <c r="F321">
        <f t="shared" si="60"/>
        <v>772781</v>
      </c>
      <c r="G321">
        <f t="shared" si="61"/>
        <v>1439</v>
      </c>
      <c r="H321">
        <f t="shared" si="62"/>
        <v>0.4922688559356147</v>
      </c>
      <c r="I321">
        <f t="shared" si="63"/>
        <v>1.6822359762985891E-4</v>
      </c>
      <c r="K321">
        <f t="shared" si="70"/>
        <v>722230.21487342892</v>
      </c>
      <c r="L321">
        <f t="shared" si="71"/>
        <v>11701.54291696385</v>
      </c>
      <c r="M321">
        <f t="shared" si="69"/>
        <v>518269.92715860961</v>
      </c>
      <c r="N321">
        <f t="shared" si="72"/>
        <v>1852831.1669508086</v>
      </c>
    </row>
    <row r="322" spans="1:14" x14ac:dyDescent="0.25">
      <c r="A322" s="1">
        <v>44515</v>
      </c>
      <c r="B322">
        <v>503564</v>
      </c>
      <c r="C322">
        <f t="shared" si="64"/>
        <v>0</v>
      </c>
      <c r="D322">
        <f t="shared" si="65"/>
        <v>12101</v>
      </c>
      <c r="E322">
        <v>1922822</v>
      </c>
      <c r="F322">
        <f t="shared" si="60"/>
        <v>772651</v>
      </c>
      <c r="G322">
        <f t="shared" si="61"/>
        <v>1439</v>
      </c>
      <c r="H322">
        <f t="shared" si="62"/>
        <v>0.49235168110670957</v>
      </c>
      <c r="I322">
        <f t="shared" si="63"/>
        <v>1.4483900234387842E-2</v>
      </c>
      <c r="K322">
        <f t="shared" si="70"/>
        <v>717967.26928230457</v>
      </c>
      <c r="L322">
        <f t="shared" si="71"/>
        <v>11765.573413012744</v>
      </c>
      <c r="M322">
        <f t="shared" si="69"/>
        <v>519440.081450306</v>
      </c>
      <c r="N322">
        <f t="shared" si="72"/>
        <v>1855859.9277541877</v>
      </c>
    </row>
    <row r="323" spans="1:14" x14ac:dyDescent="0.25">
      <c r="A323" s="1">
        <v>44516</v>
      </c>
      <c r="B323">
        <v>506538</v>
      </c>
      <c r="C323">
        <f t="shared" si="64"/>
        <v>2974</v>
      </c>
      <c r="D323">
        <f t="shared" si="65"/>
        <v>12131</v>
      </c>
      <c r="E323">
        <v>1934013</v>
      </c>
      <c r="F323">
        <f t="shared" si="60"/>
        <v>758486</v>
      </c>
      <c r="G323">
        <f t="shared" si="61"/>
        <v>1439</v>
      </c>
      <c r="H323">
        <f t="shared" si="62"/>
        <v>0.50030620048900942</v>
      </c>
      <c r="I323">
        <f t="shared" si="63"/>
        <v>5.7285170721674498E-3</v>
      </c>
      <c r="K323">
        <f t="shared" si="70"/>
        <v>713722.77205912338</v>
      </c>
      <c r="L323">
        <f t="shared" si="71"/>
        <v>11822.62967561285</v>
      </c>
      <c r="M323">
        <f t="shared" si="69"/>
        <v>520616.63879160729</v>
      </c>
      <c r="N323">
        <f t="shared" si="72"/>
        <v>1858870.8113734676</v>
      </c>
    </row>
    <row r="324" spans="1:14" x14ac:dyDescent="0.25">
      <c r="A324" s="1">
        <v>44517</v>
      </c>
      <c r="B324">
        <v>509761</v>
      </c>
      <c r="C324">
        <f t="shared" si="64"/>
        <v>3223</v>
      </c>
      <c r="D324">
        <f t="shared" si="65"/>
        <v>15354</v>
      </c>
      <c r="E324">
        <v>1938358</v>
      </c>
      <c r="F324">
        <f t="shared" si="60"/>
        <v>750918</v>
      </c>
      <c r="G324">
        <f t="shared" si="61"/>
        <v>1481.2857142857142</v>
      </c>
      <c r="H324">
        <f t="shared" si="62"/>
        <v>0.41100210537139314</v>
      </c>
      <c r="I324">
        <f t="shared" si="63"/>
        <v>5.7862509621556552E-3</v>
      </c>
      <c r="K324">
        <f t="shared" si="70"/>
        <v>709497.42061303428</v>
      </c>
      <c r="L324">
        <f t="shared" si="71"/>
        <v>11872.634353471127</v>
      </c>
      <c r="M324">
        <f t="shared" si="69"/>
        <v>521798.9017591686</v>
      </c>
      <c r="N324">
        <f t="shared" si="72"/>
        <v>1861863.8951741371</v>
      </c>
    </row>
    <row r="325" spans="1:14" x14ac:dyDescent="0.25">
      <c r="A325" s="1">
        <v>44518</v>
      </c>
      <c r="B325">
        <v>509761</v>
      </c>
      <c r="C325">
        <f t="shared" si="64"/>
        <v>0</v>
      </c>
      <c r="D325">
        <f t="shared" si="65"/>
        <v>15354</v>
      </c>
      <c r="E325">
        <v>1942703</v>
      </c>
      <c r="F325">
        <f t="shared" ref="F325:F368" si="73">$B$1-(B325+E325)</f>
        <v>746573</v>
      </c>
      <c r="G325">
        <f t="shared" ref="G325:G362" si="74">AVERAGE(C325:C331)</f>
        <v>1508.1428571428571</v>
      </c>
      <c r="H325">
        <f t="shared" ref="H325:H368" si="75">(G325*$B$1)/(F325*D325)</f>
        <v>0.42088934246956655</v>
      </c>
      <c r="I325">
        <f t="shared" ref="I325:I367" si="76">(E326-E325)/F325</f>
        <v>5.4355032930470297E-3</v>
      </c>
      <c r="K325">
        <f t="shared" si="70"/>
        <v>705291.90280375653</v>
      </c>
      <c r="L325">
        <f t="shared" si="71"/>
        <v>11915.524455183036</v>
      </c>
      <c r="M325">
        <f t="shared" si="69"/>
        <v>522986.16519451572</v>
      </c>
      <c r="N325">
        <f t="shared" si="72"/>
        <v>1864839.259446356</v>
      </c>
    </row>
    <row r="326" spans="1:14" x14ac:dyDescent="0.25">
      <c r="A326" s="1">
        <v>44519</v>
      </c>
      <c r="B326">
        <v>509761</v>
      </c>
      <c r="C326">
        <f t="shared" ref="C326:C368" si="77">B326-B325</f>
        <v>0</v>
      </c>
      <c r="D326">
        <f t="shared" si="65"/>
        <v>12113</v>
      </c>
      <c r="E326">
        <v>1946761</v>
      </c>
      <c r="F326">
        <f t="shared" si="73"/>
        <v>742515</v>
      </c>
      <c r="G326">
        <f t="shared" si="74"/>
        <v>1508.1428571428571</v>
      </c>
      <c r="H326">
        <f t="shared" si="75"/>
        <v>0.53641979513242866</v>
      </c>
      <c r="I326">
        <f t="shared" si="76"/>
        <v>6.0483626593402151E-3</v>
      </c>
      <c r="K326">
        <f t="shared" si="70"/>
        <v>701106.89542434993</v>
      </c>
      <c r="L326">
        <f t="shared" si="71"/>
        <v>11951.251470519734</v>
      </c>
      <c r="M326">
        <f t="shared" si="69"/>
        <v>524177.71764003404</v>
      </c>
      <c r="N326">
        <f t="shared" si="72"/>
        <v>1867796.9873649075</v>
      </c>
    </row>
    <row r="327" spans="1:14" x14ac:dyDescent="0.25">
      <c r="A327" s="1">
        <v>44520</v>
      </c>
      <c r="B327">
        <v>513637</v>
      </c>
      <c r="C327">
        <f t="shared" si="77"/>
        <v>3876</v>
      </c>
      <c r="D327">
        <f t="shared" si="65"/>
        <v>13163</v>
      </c>
      <c r="E327">
        <v>1951252</v>
      </c>
      <c r="F327">
        <f t="shared" si="73"/>
        <v>734148</v>
      </c>
      <c r="G327">
        <f t="shared" si="74"/>
        <v>1508.1428571428571</v>
      </c>
      <c r="H327">
        <f t="shared" si="75"/>
        <v>0.49925594312030802</v>
      </c>
      <c r="I327">
        <f t="shared" si="76"/>
        <v>4.1544756643074692E-4</v>
      </c>
      <c r="K327">
        <f t="shared" si="70"/>
        <v>696943.06273413182</v>
      </c>
      <c r="L327">
        <f t="shared" si="71"/>
        <v>11979.781435803454</v>
      </c>
      <c r="M327">
        <f t="shared" si="69"/>
        <v>525372.84278708603</v>
      </c>
      <c r="N327">
        <f t="shared" si="72"/>
        <v>1870737.1649427901</v>
      </c>
    </row>
    <row r="328" spans="1:14" x14ac:dyDescent="0.25">
      <c r="A328" s="1">
        <v>44521</v>
      </c>
      <c r="B328">
        <v>513637</v>
      </c>
      <c r="C328">
        <f t="shared" si="77"/>
        <v>0</v>
      </c>
      <c r="D328">
        <f t="shared" si="65"/>
        <v>13163</v>
      </c>
      <c r="E328">
        <v>1951557</v>
      </c>
      <c r="F328">
        <f t="shared" si="73"/>
        <v>733843</v>
      </c>
      <c r="G328">
        <f t="shared" si="74"/>
        <v>954.42857142857144</v>
      </c>
      <c r="H328">
        <f t="shared" si="75"/>
        <v>0.3160855611740836</v>
      </c>
      <c r="I328">
        <f t="shared" si="76"/>
        <v>4.6058898156690193E-4</v>
      </c>
      <c r="K328">
        <f t="shared" si="70"/>
        <v>692801.05504695082</v>
      </c>
      <c r="L328">
        <f t="shared" si="71"/>
        <v>12001.094943540003</v>
      </c>
      <c r="M328">
        <f t="shared" si="69"/>
        <v>526570.82093066641</v>
      </c>
      <c r="N328">
        <f t="shared" si="72"/>
        <v>1873659.8809786541</v>
      </c>
    </row>
    <row r="329" spans="1:14" x14ac:dyDescent="0.25">
      <c r="A329" s="1">
        <v>44522</v>
      </c>
      <c r="B329">
        <v>513637</v>
      </c>
      <c r="C329">
        <f t="shared" si="77"/>
        <v>0</v>
      </c>
      <c r="D329">
        <f t="shared" si="65"/>
        <v>13163</v>
      </c>
      <c r="E329">
        <v>1951895</v>
      </c>
      <c r="F329">
        <f t="shared" si="73"/>
        <v>733505</v>
      </c>
      <c r="G329">
        <f t="shared" si="74"/>
        <v>1317.2857142857142</v>
      </c>
      <c r="H329">
        <f t="shared" si="75"/>
        <v>0.43645682118364171</v>
      </c>
      <c r="I329">
        <f t="shared" si="76"/>
        <v>1.0550711992419956E-2</v>
      </c>
      <c r="K329">
        <f t="shared" si="70"/>
        <v>688681.5073796513</v>
      </c>
      <c r="L329">
        <f t="shared" si="71"/>
        <v>12015.187096818263</v>
      </c>
      <c r="M329">
        <f t="shared" si="69"/>
        <v>527770.9304250204</v>
      </c>
      <c r="N329">
        <f t="shared" si="72"/>
        <v>1876565.2269983212</v>
      </c>
    </row>
    <row r="330" spans="1:14" x14ac:dyDescent="0.25">
      <c r="A330" s="1">
        <v>44523</v>
      </c>
      <c r="B330">
        <v>516907</v>
      </c>
      <c r="C330">
        <f t="shared" si="77"/>
        <v>3270</v>
      </c>
      <c r="D330">
        <f t="shared" si="65"/>
        <v>13343</v>
      </c>
      <c r="E330">
        <v>1959634</v>
      </c>
      <c r="F330">
        <f t="shared" si="73"/>
        <v>722496</v>
      </c>
      <c r="G330">
        <f t="shared" si="74"/>
        <v>1317.2857142857142</v>
      </c>
      <c r="H330">
        <f t="shared" si="75"/>
        <v>0.43712969723846018</v>
      </c>
      <c r="I330">
        <f t="shared" si="76"/>
        <v>4.1619607582602533E-3</v>
      </c>
      <c r="K330">
        <f t="shared" si="70"/>
        <v>684585.03816515591</v>
      </c>
      <c r="L330">
        <f t="shared" si="71"/>
        <v>12022.067409319112</v>
      </c>
      <c r="M330">
        <f t="shared" si="69"/>
        <v>528972.44913470221</v>
      </c>
      <c r="N330">
        <f t="shared" si="72"/>
        <v>1879453.2971906338</v>
      </c>
    </row>
    <row r="331" spans="1:14" x14ac:dyDescent="0.25">
      <c r="A331" s="1">
        <v>44524</v>
      </c>
      <c r="B331">
        <v>520318</v>
      </c>
      <c r="C331">
        <f t="shared" si="77"/>
        <v>3411</v>
      </c>
      <c r="D331">
        <f t="shared" si="65"/>
        <v>16754</v>
      </c>
      <c r="E331">
        <v>1962641</v>
      </c>
      <c r="F331">
        <f t="shared" si="73"/>
        <v>716078</v>
      </c>
      <c r="G331">
        <f t="shared" si="74"/>
        <v>1221.5714285714287</v>
      </c>
      <c r="H331">
        <f t="shared" si="75"/>
        <v>0.32573114606604447</v>
      </c>
      <c r="I331">
        <f t="shared" si="76"/>
        <v>2.3042182555531659E-4</v>
      </c>
      <c r="K331">
        <f t="shared" si="70"/>
        <v>680512.24803417118</v>
      </c>
      <c r="L331">
        <f t="shared" si="71"/>
        <v>12021.759652097277</v>
      </c>
      <c r="M331">
        <f t="shared" si="69"/>
        <v>530174.65587563417</v>
      </c>
      <c r="N331">
        <f t="shared" si="72"/>
        <v>1882324.1883379086</v>
      </c>
    </row>
    <row r="332" spans="1:14" x14ac:dyDescent="0.25">
      <c r="A332" s="1">
        <v>44525</v>
      </c>
      <c r="B332">
        <v>520318</v>
      </c>
      <c r="C332">
        <f t="shared" si="77"/>
        <v>0</v>
      </c>
      <c r="D332">
        <f t="shared" si="65"/>
        <v>16754</v>
      </c>
      <c r="E332">
        <f>E331+165</f>
        <v>1962806</v>
      </c>
      <c r="F332">
        <f t="shared" si="73"/>
        <v>715913</v>
      </c>
      <c r="G332">
        <f t="shared" si="74"/>
        <v>1391.7142857142858</v>
      </c>
      <c r="H332">
        <f t="shared" si="75"/>
        <v>0.37118514615998016</v>
      </c>
      <c r="I332">
        <f t="shared" si="76"/>
        <v>2.3047493200989506E-4</v>
      </c>
      <c r="K332">
        <f t="shared" si="70"/>
        <v>676463.71866908064</v>
      </c>
      <c r="L332">
        <f t="shared" si="71"/>
        <v>12014.301648606523</v>
      </c>
      <c r="M332">
        <f t="shared" si="69"/>
        <v>531376.83184084389</v>
      </c>
      <c r="N332">
        <f t="shared" si="72"/>
        <v>1885177.9997412802</v>
      </c>
    </row>
    <row r="333" spans="1:14" x14ac:dyDescent="0.25">
      <c r="A333" s="1">
        <v>44526</v>
      </c>
      <c r="B333">
        <v>520318</v>
      </c>
      <c r="C333">
        <f t="shared" si="77"/>
        <v>0</v>
      </c>
      <c r="D333">
        <f t="shared" si="65"/>
        <v>13780</v>
      </c>
      <c r="E333">
        <f>E332+165</f>
        <v>1962971</v>
      </c>
      <c r="F333">
        <f t="shared" si="73"/>
        <v>715748</v>
      </c>
      <c r="G333">
        <f t="shared" si="74"/>
        <v>1391.7142857142858</v>
      </c>
      <c r="H333">
        <f t="shared" si="75"/>
        <v>0.45139837118774107</v>
      </c>
      <c r="I333">
        <f t="shared" si="76"/>
        <v>2.3052806294952973E-4</v>
      </c>
      <c r="K333">
        <f t="shared" si="70"/>
        <v>672440.01173313812</v>
      </c>
      <c r="L333">
        <f t="shared" si="71"/>
        <v>11999.745019728796</v>
      </c>
      <c r="M333">
        <f t="shared" si="69"/>
        <v>532578.26200570457</v>
      </c>
      <c r="N333">
        <f t="shared" si="72"/>
        <v>1888014.8331412398</v>
      </c>
    </row>
    <row r="334" spans="1:14" x14ac:dyDescent="0.25">
      <c r="A334" s="1">
        <v>44527</v>
      </c>
      <c r="B334">
        <v>520318</v>
      </c>
      <c r="C334">
        <f t="shared" si="77"/>
        <v>0</v>
      </c>
      <c r="D334">
        <f t="shared" ref="D334:D368" si="78">SUM(C325:C334)</f>
        <v>10557</v>
      </c>
      <c r="E334">
        <f>E333+165</f>
        <v>1963136</v>
      </c>
      <c r="F334">
        <f t="shared" si="73"/>
        <v>715583</v>
      </c>
      <c r="G334">
        <f t="shared" si="74"/>
        <v>1391.7142857142858</v>
      </c>
      <c r="H334">
        <f t="shared" si="75"/>
        <v>0.58934392652266532</v>
      </c>
      <c r="I334">
        <f t="shared" si="76"/>
        <v>2.3058121839115799E-4</v>
      </c>
      <c r="K334">
        <f t="shared" si="70"/>
        <v>668441.6678776124</v>
      </c>
      <c r="L334">
        <f t="shared" si="71"/>
        <v>11978.154880839222</v>
      </c>
      <c r="M334">
        <f t="shared" si="69"/>
        <v>533778.23650767747</v>
      </c>
      <c r="N334">
        <f t="shared" si="72"/>
        <v>1890834.7926336823</v>
      </c>
    </row>
    <row r="335" spans="1:14" x14ac:dyDescent="0.25">
      <c r="A335" s="1">
        <v>44528</v>
      </c>
      <c r="B335">
        <v>522858</v>
      </c>
      <c r="C335">
        <f t="shared" si="77"/>
        <v>2540</v>
      </c>
      <c r="D335">
        <f t="shared" si="78"/>
        <v>13097</v>
      </c>
      <c r="E335">
        <f>E334+165</f>
        <v>1963301</v>
      </c>
      <c r="F335">
        <f t="shared" si="73"/>
        <v>712878</v>
      </c>
      <c r="G335">
        <f t="shared" si="74"/>
        <v>2043.5714285714287</v>
      </c>
      <c r="H335">
        <f t="shared" si="75"/>
        <v>0.70019990181715408</v>
      </c>
      <c r="I335">
        <f t="shared" si="76"/>
        <v>2.3285891835629659E-4</v>
      </c>
      <c r="K335">
        <f t="shared" si="70"/>
        <v>664469.20582907123</v>
      </c>
      <c r="L335">
        <f t="shared" si="71"/>
        <v>11949.609493189104</v>
      </c>
      <c r="M335">
        <f t="shared" si="69"/>
        <v>534976.05199576134</v>
      </c>
      <c r="N335">
        <f t="shared" si="72"/>
        <v>1893637.9845817897</v>
      </c>
    </row>
    <row r="336" spans="1:14" x14ac:dyDescent="0.25">
      <c r="A336" s="1">
        <v>44529</v>
      </c>
      <c r="B336">
        <v>522858</v>
      </c>
      <c r="C336">
        <f t="shared" si="77"/>
        <v>0</v>
      </c>
      <c r="D336">
        <f t="shared" si="78"/>
        <v>13097</v>
      </c>
      <c r="E336">
        <v>1963467</v>
      </c>
      <c r="F336">
        <f t="shared" si="73"/>
        <v>712712</v>
      </c>
      <c r="G336">
        <f t="shared" si="74"/>
        <v>1680.7142857142858</v>
      </c>
      <c r="H336">
        <f t="shared" si="75"/>
        <v>0.57600632988020606</v>
      </c>
      <c r="I336">
        <f t="shared" si="76"/>
        <v>1.7176643581137963E-2</v>
      </c>
      <c r="K336">
        <f t="shared" si="70"/>
        <v>660523.12155852711</v>
      </c>
      <c r="L336">
        <f t="shared" si="71"/>
        <v>11914.199872116622</v>
      </c>
      <c r="M336">
        <f t="shared" si="69"/>
        <v>536171.01294508029</v>
      </c>
      <c r="N336">
        <f t="shared" si="72"/>
        <v>1896424.5175240873</v>
      </c>
    </row>
    <row r="337" spans="1:14" x14ac:dyDescent="0.25">
      <c r="A337" s="1">
        <v>44530</v>
      </c>
      <c r="B337">
        <v>525458</v>
      </c>
      <c r="C337">
        <f t="shared" si="77"/>
        <v>2600</v>
      </c>
      <c r="D337">
        <f t="shared" si="78"/>
        <v>11821</v>
      </c>
      <c r="E337">
        <v>1975709</v>
      </c>
      <c r="F337">
        <f t="shared" si="73"/>
        <v>697870</v>
      </c>
      <c r="G337">
        <f t="shared" si="74"/>
        <v>1680.7142857142858</v>
      </c>
      <c r="H337">
        <f t="shared" si="75"/>
        <v>0.65175505468192718</v>
      </c>
      <c r="I337">
        <f t="shared" si="76"/>
        <v>3.3000415550174102E-3</v>
      </c>
      <c r="K337">
        <f t="shared" si="70"/>
        <v>656603.88753370522</v>
      </c>
      <c r="L337">
        <f t="shared" si="71"/>
        <v>11872.029354798307</v>
      </c>
      <c r="M337">
        <f t="shared" si="69"/>
        <v>537362.43293229199</v>
      </c>
      <c r="N337">
        <f t="shared" si="72"/>
        <v>1899194.5020790158</v>
      </c>
    </row>
    <row r="338" spans="1:14" x14ac:dyDescent="0.25">
      <c r="A338" s="1">
        <v>44531</v>
      </c>
      <c r="B338">
        <v>530060</v>
      </c>
      <c r="C338">
        <f t="shared" si="77"/>
        <v>4602</v>
      </c>
      <c r="D338">
        <f t="shared" si="78"/>
        <v>16423</v>
      </c>
      <c r="E338">
        <v>1978012</v>
      </c>
      <c r="F338">
        <f t="shared" si="73"/>
        <v>690965</v>
      </c>
      <c r="G338">
        <f t="shared" si="74"/>
        <v>1897.1428571428571</v>
      </c>
      <c r="H338">
        <f t="shared" si="75"/>
        <v>0.53482383770860942</v>
      </c>
      <c r="I338">
        <f t="shared" si="76"/>
        <v>4.4589812798043315E-3</v>
      </c>
      <c r="K338">
        <f>K337-($R$15*K337*L337/$B$1)-($S$15*K337)</f>
        <v>652860.72016600089</v>
      </c>
      <c r="L338">
        <f>L337+($R$15*K337*L337/$B$1)-(L337/10)</f>
        <v>12030.803966456753</v>
      </c>
      <c r="M338">
        <f t="shared" si="69"/>
        <v>538549.63586777181</v>
      </c>
      <c r="N338">
        <f>N337+($S$15*K337)</f>
        <v>1901591.6918995818</v>
      </c>
    </row>
    <row r="339" spans="1:14" x14ac:dyDescent="0.25">
      <c r="A339" s="1">
        <v>44532</v>
      </c>
      <c r="B339">
        <v>530060</v>
      </c>
      <c r="C339">
        <f t="shared" si="77"/>
        <v>0</v>
      </c>
      <c r="D339">
        <f t="shared" si="78"/>
        <v>16423</v>
      </c>
      <c r="E339">
        <v>1981093</v>
      </c>
      <c r="F339">
        <f t="shared" si="73"/>
        <v>687884</v>
      </c>
      <c r="G339">
        <f t="shared" si="74"/>
        <v>1767.5714285714287</v>
      </c>
      <c r="H339">
        <f t="shared" si="75"/>
        <v>0.50052818193548054</v>
      </c>
      <c r="I339">
        <f t="shared" si="76"/>
        <v>4.2608928249530447E-3</v>
      </c>
      <c r="K339">
        <f t="shared" ref="K339:K367" si="79">K338-($R$15*K338*L338/$B$1)-($S$15*K338)</f>
        <v>649120.99357856635</v>
      </c>
      <c r="L339">
        <f t="shared" ref="L339:L368" si="80">L338+($R$15*K338*L338/$B$1)-(L338/10)</f>
        <v>12183.926236137204</v>
      </c>
      <c r="M339">
        <f t="shared" si="69"/>
        <v>539752.71626441751</v>
      </c>
      <c r="N339">
        <f t="shared" ref="N339:N368" si="81">N338+($S$15*K338)</f>
        <v>1903975.2158206902</v>
      </c>
    </row>
    <row r="340" spans="1:14" x14ac:dyDescent="0.25">
      <c r="A340" s="1">
        <v>44533</v>
      </c>
      <c r="B340">
        <v>530060</v>
      </c>
      <c r="C340">
        <f t="shared" si="77"/>
        <v>0</v>
      </c>
      <c r="D340">
        <f t="shared" si="78"/>
        <v>13153</v>
      </c>
      <c r="E340">
        <v>1984024</v>
      </c>
      <c r="F340">
        <f t="shared" si="73"/>
        <v>684953</v>
      </c>
      <c r="G340">
        <f t="shared" si="74"/>
        <v>1767.5714285714287</v>
      </c>
      <c r="H340">
        <f t="shared" si="75"/>
        <v>0.62764004343811552</v>
      </c>
      <c r="I340">
        <f t="shared" si="76"/>
        <v>5.5989243057552856E-3</v>
      </c>
      <c r="K340">
        <f t="shared" si="79"/>
        <v>645385.52673106291</v>
      </c>
      <c r="L340">
        <f t="shared" si="80"/>
        <v>12331.129876459261</v>
      </c>
      <c r="M340">
        <f t="shared" si="69"/>
        <v>540971.10888803122</v>
      </c>
      <c r="N340">
        <f t="shared" si="81"/>
        <v>1906345.0864042577</v>
      </c>
    </row>
    <row r="341" spans="1:14" x14ac:dyDescent="0.25">
      <c r="A341" s="1">
        <v>44534</v>
      </c>
      <c r="B341">
        <v>534623</v>
      </c>
      <c r="C341">
        <f t="shared" si="77"/>
        <v>4563</v>
      </c>
      <c r="D341">
        <f t="shared" si="78"/>
        <v>14305</v>
      </c>
      <c r="E341">
        <v>1987859</v>
      </c>
      <c r="F341">
        <f t="shared" si="73"/>
        <v>676555</v>
      </c>
      <c r="G341">
        <f t="shared" si="74"/>
        <v>2249.1428571428573</v>
      </c>
      <c r="H341">
        <f t="shared" si="75"/>
        <v>0.74343898993595681</v>
      </c>
      <c r="I341">
        <f t="shared" si="76"/>
        <v>4.4342292939967924E-4</v>
      </c>
      <c r="K341">
        <f t="shared" si="79"/>
        <v>641655.15230115072</v>
      </c>
      <c r="L341">
        <f t="shared" si="80"/>
        <v>12472.158520848641</v>
      </c>
      <c r="M341">
        <f t="shared" si="69"/>
        <v>542204.22187567712</v>
      </c>
      <c r="N341">
        <f t="shared" si="81"/>
        <v>1908701.3192021346</v>
      </c>
    </row>
    <row r="342" spans="1:14" x14ac:dyDescent="0.25">
      <c r="A342" s="1">
        <v>44535</v>
      </c>
      <c r="B342">
        <v>534623</v>
      </c>
      <c r="C342">
        <f t="shared" si="77"/>
        <v>0</v>
      </c>
      <c r="D342">
        <f t="shared" si="78"/>
        <v>14305</v>
      </c>
      <c r="E342">
        <v>1988159</v>
      </c>
      <c r="F342">
        <f t="shared" si="73"/>
        <v>676255</v>
      </c>
      <c r="G342">
        <f t="shared" si="74"/>
        <v>1666.2857142857142</v>
      </c>
      <c r="H342">
        <f t="shared" si="75"/>
        <v>0.55102383219463802</v>
      </c>
      <c r="I342">
        <f t="shared" si="76"/>
        <v>2.380758737458503E-4</v>
      </c>
      <c r="K342">
        <f t="shared" si="79"/>
        <v>637930.71475956438</v>
      </c>
      <c r="L342">
        <f t="shared" si="80"/>
        <v>12606.766606297757</v>
      </c>
      <c r="M342">
        <f t="shared" si="69"/>
        <v>543451.43772776204</v>
      </c>
      <c r="N342">
        <f t="shared" si="81"/>
        <v>1911043.9328061868</v>
      </c>
    </row>
    <row r="343" spans="1:14" x14ac:dyDescent="0.25">
      <c r="A343" s="1">
        <v>44536</v>
      </c>
      <c r="B343">
        <v>534623</v>
      </c>
      <c r="C343">
        <f t="shared" si="77"/>
        <v>0</v>
      </c>
      <c r="D343">
        <f t="shared" si="78"/>
        <v>14305</v>
      </c>
      <c r="E343">
        <v>1988320</v>
      </c>
      <c r="F343">
        <f t="shared" si="73"/>
        <v>676094</v>
      </c>
      <c r="G343">
        <f t="shared" si="74"/>
        <v>1666.2857142857142</v>
      </c>
      <c r="H343">
        <f t="shared" si="75"/>
        <v>0.55115504891447775</v>
      </c>
      <c r="I343">
        <f t="shared" si="76"/>
        <v>9.049037559865936E-3</v>
      </c>
      <c r="K343">
        <f t="shared" si="79"/>
        <v>634213.06840018171</v>
      </c>
      <c r="L343">
        <f t="shared" si="80"/>
        <v>12734.720219885327</v>
      </c>
      <c r="M343">
        <f t="shared" si="69"/>
        <v>544712.11438839184</v>
      </c>
      <c r="N343">
        <f t="shared" si="81"/>
        <v>1913372.9488913522</v>
      </c>
    </row>
    <row r="344" spans="1:14" x14ac:dyDescent="0.25">
      <c r="A344" s="1">
        <v>44537</v>
      </c>
      <c r="B344">
        <v>538738</v>
      </c>
      <c r="C344">
        <f t="shared" si="77"/>
        <v>4115</v>
      </c>
      <c r="D344">
        <f t="shared" si="78"/>
        <v>18420</v>
      </c>
      <c r="E344">
        <v>1994438</v>
      </c>
      <c r="F344">
        <f t="shared" si="73"/>
        <v>665861</v>
      </c>
      <c r="G344">
        <f t="shared" si="74"/>
        <v>1666.2857142857142</v>
      </c>
      <c r="H344">
        <f t="shared" si="75"/>
        <v>0.43460581172374735</v>
      </c>
      <c r="I344">
        <f t="shared" si="76"/>
        <v>3.9167333722804005E-3</v>
      </c>
      <c r="K344">
        <f t="shared" si="79"/>
        <v>630503.07533378876</v>
      </c>
      <c r="L344">
        <f t="shared" si="80"/>
        <v>12855.797904139295</v>
      </c>
      <c r="M344">
        <f t="shared" si="69"/>
        <v>545985.58641038032</v>
      </c>
      <c r="N344">
        <f t="shared" si="81"/>
        <v>1915688.3922515027</v>
      </c>
    </row>
    <row r="345" spans="1:14" x14ac:dyDescent="0.25">
      <c r="A345" s="1">
        <v>44538</v>
      </c>
      <c r="B345">
        <v>542433</v>
      </c>
      <c r="C345">
        <f t="shared" si="77"/>
        <v>3695</v>
      </c>
      <c r="D345">
        <f t="shared" si="78"/>
        <v>19575</v>
      </c>
      <c r="E345">
        <v>1997046</v>
      </c>
      <c r="F345">
        <f t="shared" si="73"/>
        <v>659558</v>
      </c>
      <c r="G345">
        <f t="shared" si="74"/>
        <v>1557.7142857142858</v>
      </c>
      <c r="H345">
        <f t="shared" si="75"/>
        <v>0.38596889168890419</v>
      </c>
      <c r="I345">
        <f t="shared" si="76"/>
        <v>4.8471855394066933E-3</v>
      </c>
      <c r="K345">
        <f t="shared" si="79"/>
        <v>626801.60345447122</v>
      </c>
      <c r="L345">
        <f t="shared" si="80"/>
        <v>12969.791416561897</v>
      </c>
      <c r="M345">
        <f t="shared" si="69"/>
        <v>547271.16620079428</v>
      </c>
      <c r="N345">
        <f t="shared" si="81"/>
        <v>1917990.2908279838</v>
      </c>
    </row>
    <row r="346" spans="1:14" x14ac:dyDescent="0.25">
      <c r="A346" s="1">
        <v>44539</v>
      </c>
      <c r="B346">
        <v>542433</v>
      </c>
      <c r="C346">
        <f t="shared" si="77"/>
        <v>0</v>
      </c>
      <c r="D346">
        <f t="shared" si="78"/>
        <v>19575</v>
      </c>
      <c r="E346">
        <v>2000243</v>
      </c>
      <c r="F346">
        <f t="shared" si="73"/>
        <v>656361</v>
      </c>
      <c r="G346">
        <f t="shared" si="74"/>
        <v>1567.7142857142858</v>
      </c>
      <c r="H346">
        <f t="shared" si="75"/>
        <v>0.39033872594043462</v>
      </c>
      <c r="I346">
        <f t="shared" si="76"/>
        <v>4.9195488458333141E-3</v>
      </c>
      <c r="K346">
        <f t="shared" si="79"/>
        <v>623109.52438772004</v>
      </c>
      <c r="L346">
        <f t="shared" si="80"/>
        <v>13076.506438912249</v>
      </c>
      <c r="M346">
        <f t="shared" si="69"/>
        <v>548568.14534245047</v>
      </c>
      <c r="N346">
        <f t="shared" si="81"/>
        <v>1920278.6757307283</v>
      </c>
    </row>
    <row r="347" spans="1:14" x14ac:dyDescent="0.25">
      <c r="A347" s="1">
        <v>44540</v>
      </c>
      <c r="B347">
        <v>545804</v>
      </c>
      <c r="C347">
        <f t="shared" si="77"/>
        <v>3371</v>
      </c>
      <c r="D347">
        <f t="shared" si="78"/>
        <v>20346</v>
      </c>
      <c r="E347">
        <v>2003472</v>
      </c>
      <c r="F347">
        <f t="shared" si="73"/>
        <v>649761</v>
      </c>
      <c r="G347">
        <f t="shared" si="74"/>
        <v>1567.7142857142858</v>
      </c>
      <c r="H347">
        <f t="shared" si="75"/>
        <v>0.37936171353710185</v>
      </c>
      <c r="I347">
        <f t="shared" si="76"/>
        <v>4.6463238021364778E-3</v>
      </c>
      <c r="K347">
        <f t="shared" si="79"/>
        <v>619427.71142943134</v>
      </c>
      <c r="L347">
        <f t="shared" si="80"/>
        <v>13175.763232158108</v>
      </c>
      <c r="M347">
        <f t="shared" si="69"/>
        <v>549875.79598634166</v>
      </c>
      <c r="N347">
        <f t="shared" si="81"/>
        <v>1922553.5812518799</v>
      </c>
    </row>
    <row r="348" spans="1:14" x14ac:dyDescent="0.25">
      <c r="A348" s="1">
        <v>44541</v>
      </c>
      <c r="B348">
        <v>546287</v>
      </c>
      <c r="C348">
        <f t="shared" si="77"/>
        <v>483</v>
      </c>
      <c r="D348">
        <f t="shared" si="78"/>
        <v>16227</v>
      </c>
      <c r="E348">
        <v>2006491</v>
      </c>
      <c r="F348">
        <f t="shared" si="73"/>
        <v>646259</v>
      </c>
      <c r="G348">
        <f t="shared" si="74"/>
        <v>1086.1428571428571</v>
      </c>
      <c r="H348">
        <f t="shared" si="75"/>
        <v>0.33133046744479594</v>
      </c>
      <c r="I348">
        <f t="shared" si="76"/>
        <v>3.8838917523779167E-4</v>
      </c>
      <c r="K348">
        <f t="shared" si="79"/>
        <v>615757.03748500161</v>
      </c>
      <c r="L348">
        <f t="shared" si="80"/>
        <v>13267.397233361127</v>
      </c>
      <c r="M348">
        <f t="shared" si="69"/>
        <v>551193.37230955751</v>
      </c>
      <c r="N348">
        <f t="shared" si="81"/>
        <v>1924815.0448718907</v>
      </c>
    </row>
    <row r="349" spans="1:14" x14ac:dyDescent="0.25">
      <c r="A349" s="1">
        <v>44542</v>
      </c>
      <c r="B349">
        <v>546287</v>
      </c>
      <c r="C349">
        <f t="shared" si="77"/>
        <v>0</v>
      </c>
      <c r="D349">
        <f t="shared" si="78"/>
        <v>16227</v>
      </c>
      <c r="E349">
        <v>2006742</v>
      </c>
      <c r="F349">
        <f t="shared" si="73"/>
        <v>646008</v>
      </c>
      <c r="G349">
        <f t="shared" si="74"/>
        <v>1534.5714285714287</v>
      </c>
      <c r="H349">
        <f t="shared" si="75"/>
        <v>0.46830655720750808</v>
      </c>
      <c r="I349">
        <f t="shared" si="76"/>
        <v>2.3683917227031244E-4</v>
      </c>
      <c r="K349">
        <f t="shared" si="79"/>
        <v>612098.37301767501</v>
      </c>
      <c r="L349">
        <f t="shared" si="80"/>
        <v>13351.259591145899</v>
      </c>
      <c r="M349">
        <f t="shared" si="69"/>
        <v>552520.11203289358</v>
      </c>
      <c r="N349">
        <f t="shared" si="81"/>
        <v>1927063.1072580963</v>
      </c>
    </row>
    <row r="350" spans="1:14" x14ac:dyDescent="0.25">
      <c r="A350" s="1">
        <v>44543</v>
      </c>
      <c r="B350">
        <v>546287</v>
      </c>
      <c r="C350">
        <f t="shared" si="77"/>
        <v>0</v>
      </c>
      <c r="D350">
        <f t="shared" si="78"/>
        <v>16227</v>
      </c>
      <c r="E350">
        <v>2006895</v>
      </c>
      <c r="F350">
        <f t="shared" si="73"/>
        <v>645855</v>
      </c>
      <c r="G350">
        <f t="shared" si="74"/>
        <v>1534.5714285714287</v>
      </c>
      <c r="H350">
        <f t="shared" si="75"/>
        <v>0.46841749681973183</v>
      </c>
      <c r="I350">
        <f t="shared" si="76"/>
        <v>8.789898661464261E-3</v>
      </c>
      <c r="K350">
        <f t="shared" si="79"/>
        <v>608452.58401518478</v>
      </c>
      <c r="L350">
        <f t="shared" si="80"/>
        <v>13427.217636818068</v>
      </c>
      <c r="M350">
        <f t="shared" si="69"/>
        <v>553855.23799200822</v>
      </c>
      <c r="N350">
        <f t="shared" si="81"/>
        <v>1929297.8122557998</v>
      </c>
    </row>
    <row r="351" spans="1:14" x14ac:dyDescent="0.25">
      <c r="A351" s="1">
        <v>44544</v>
      </c>
      <c r="B351">
        <v>549642</v>
      </c>
      <c r="C351">
        <f t="shared" si="77"/>
        <v>3355</v>
      </c>
      <c r="D351">
        <f t="shared" si="78"/>
        <v>15019</v>
      </c>
      <c r="E351">
        <v>2012572</v>
      </c>
      <c r="F351">
        <f t="shared" si="73"/>
        <v>636823</v>
      </c>
      <c r="G351">
        <f t="shared" si="74"/>
        <v>1534.5714285714287</v>
      </c>
      <c r="H351">
        <f t="shared" si="75"/>
        <v>0.51327086573870018</v>
      </c>
      <c r="I351">
        <f t="shared" si="76"/>
        <v>3.7781298728218043E-3</v>
      </c>
      <c r="K351">
        <f t="shared" si="79"/>
        <v>604820.52998355275</v>
      </c>
      <c r="L351">
        <f t="shared" si="80"/>
        <v>13495.155288636874</v>
      </c>
      <c r="M351">
        <f t="shared" si="69"/>
        <v>555197.95975569007</v>
      </c>
      <c r="N351">
        <f t="shared" si="81"/>
        <v>1931519.2068719312</v>
      </c>
    </row>
    <row r="352" spans="1:14" x14ac:dyDescent="0.25">
      <c r="A352" s="1">
        <v>44545</v>
      </c>
      <c r="B352">
        <v>553407</v>
      </c>
      <c r="C352">
        <f t="shared" si="77"/>
        <v>3765</v>
      </c>
      <c r="D352">
        <f t="shared" si="78"/>
        <v>18784</v>
      </c>
      <c r="E352">
        <v>2014978</v>
      </c>
      <c r="F352">
        <f t="shared" si="73"/>
        <v>630652</v>
      </c>
      <c r="G352">
        <f t="shared" si="74"/>
        <v>1529.8571428571429</v>
      </c>
      <c r="H352">
        <f t="shared" si="75"/>
        <v>0.4131352812523712</v>
      </c>
      <c r="I352">
        <f t="shared" si="76"/>
        <v>3.6438479541807526E-3</v>
      </c>
      <c r="K352">
        <f t="shared" si="79"/>
        <v>601203.0619766647</v>
      </c>
      <c r="L352">
        <f t="shared" si="80"/>
        <v>13554.973387207765</v>
      </c>
      <c r="M352">
        <f t="shared" si="69"/>
        <v>556547.47528455372</v>
      </c>
      <c r="N352">
        <f t="shared" si="81"/>
        <v>1933727.3412513847</v>
      </c>
    </row>
    <row r="353" spans="1:15" x14ac:dyDescent="0.25">
      <c r="A353" s="1">
        <v>44546</v>
      </c>
      <c r="B353">
        <v>553407</v>
      </c>
      <c r="C353">
        <f t="shared" si="77"/>
        <v>0</v>
      </c>
      <c r="D353">
        <f t="shared" si="78"/>
        <v>18784</v>
      </c>
      <c r="E353">
        <v>2017276</v>
      </c>
      <c r="F353">
        <f t="shared" si="73"/>
        <v>628354</v>
      </c>
      <c r="G353">
        <f t="shared" si="74"/>
        <v>1506.8571428571429</v>
      </c>
      <c r="H353">
        <f t="shared" si="75"/>
        <v>0.40841236350020294</v>
      </c>
      <c r="I353">
        <f t="shared" si="76"/>
        <v>4.4751843705936462E-3</v>
      </c>
      <c r="K353">
        <f t="shared" si="79"/>
        <v>597601.02066993981</v>
      </c>
      <c r="L353">
        <f t="shared" si="80"/>
        <v>13606.589960436617</v>
      </c>
      <c r="M353">
        <f t="shared" si="69"/>
        <v>557902.97262327455</v>
      </c>
      <c r="N353">
        <f t="shared" si="81"/>
        <v>1935922.2686461599</v>
      </c>
    </row>
    <row r="354" spans="1:15" x14ac:dyDescent="0.25">
      <c r="A354" s="1">
        <v>44547</v>
      </c>
      <c r="B354">
        <v>553407</v>
      </c>
      <c r="C354">
        <f t="shared" si="77"/>
        <v>0</v>
      </c>
      <c r="D354">
        <f t="shared" si="78"/>
        <v>14669</v>
      </c>
      <c r="E354">
        <v>2020088</v>
      </c>
      <c r="F354">
        <f t="shared" si="73"/>
        <v>625542</v>
      </c>
      <c r="G354">
        <f t="shared" si="74"/>
        <v>1506.8571428571429</v>
      </c>
      <c r="H354">
        <f t="shared" si="75"/>
        <v>0.52533261111808527</v>
      </c>
      <c r="I354">
        <f t="shared" si="76"/>
        <v>3.7359601753359489E-3</v>
      </c>
      <c r="K354">
        <f t="shared" si="79"/>
        <v>594015.23448604753</v>
      </c>
      <c r="L354">
        <f t="shared" si="80"/>
        <v>13649.940416973466</v>
      </c>
      <c r="M354">
        <f t="shared" si="69"/>
        <v>559263.63161931816</v>
      </c>
      <c r="N354">
        <f t="shared" si="81"/>
        <v>1938104.0453774717</v>
      </c>
    </row>
    <row r="355" spans="1:15" x14ac:dyDescent="0.25">
      <c r="A355" s="1">
        <v>44548</v>
      </c>
      <c r="B355">
        <v>557029</v>
      </c>
      <c r="C355">
        <f t="shared" si="77"/>
        <v>3622</v>
      </c>
      <c r="D355">
        <f t="shared" si="78"/>
        <v>14596</v>
      </c>
      <c r="E355">
        <v>2022425</v>
      </c>
      <c r="F355">
        <f t="shared" si="73"/>
        <v>619583</v>
      </c>
      <c r="G355">
        <f t="shared" si="74"/>
        <v>1506.8571428571429</v>
      </c>
      <c r="H355">
        <f t="shared" si="75"/>
        <v>0.53303778601031293</v>
      </c>
      <c r="I355">
        <f t="shared" si="76"/>
        <v>4.2286505601348001E-4</v>
      </c>
      <c r="K355">
        <f t="shared" si="79"/>
        <v>590446.51778021338</v>
      </c>
      <c r="L355">
        <f t="shared" si="80"/>
        <v>13684.977667565532</v>
      </c>
      <c r="M355">
        <f t="shared" si="69"/>
        <v>560628.62566101551</v>
      </c>
      <c r="N355">
        <f t="shared" si="81"/>
        <v>1940272.7307910165</v>
      </c>
    </row>
    <row r="356" spans="1:15" x14ac:dyDescent="0.25">
      <c r="A356" s="1">
        <v>44549</v>
      </c>
      <c r="B356">
        <v>557029</v>
      </c>
      <c r="C356">
        <f t="shared" si="77"/>
        <v>0</v>
      </c>
      <c r="D356">
        <f t="shared" si="78"/>
        <v>14596</v>
      </c>
      <c r="E356">
        <v>2022687</v>
      </c>
      <c r="F356">
        <f t="shared" si="73"/>
        <v>619321</v>
      </c>
      <c r="G356">
        <f t="shared" si="74"/>
        <v>989.42857142857144</v>
      </c>
      <c r="H356">
        <f t="shared" si="75"/>
        <v>0.35014993438430397</v>
      </c>
      <c r="I356">
        <f t="shared" si="76"/>
        <v>1.9214591463877375E-4</v>
      </c>
      <c r="K356">
        <f t="shared" si="79"/>
        <v>586895.66909219383</v>
      </c>
      <c r="L356">
        <f t="shared" si="80"/>
        <v>13711.672174231453</v>
      </c>
      <c r="M356">
        <f t="shared" ref="M356:M368" si="82">M355+(L355/10)</f>
        <v>561997.12342777208</v>
      </c>
      <c r="N356">
        <f t="shared" si="81"/>
        <v>1942428.3872056135</v>
      </c>
    </row>
    <row r="357" spans="1:15" x14ac:dyDescent="0.25">
      <c r="A357" s="1">
        <v>44550</v>
      </c>
      <c r="B357">
        <v>557029</v>
      </c>
      <c r="C357">
        <f t="shared" si="77"/>
        <v>0</v>
      </c>
      <c r="D357">
        <f t="shared" si="78"/>
        <v>11225</v>
      </c>
      <c r="E357">
        <v>2022806</v>
      </c>
      <c r="F357">
        <f t="shared" si="73"/>
        <v>619202</v>
      </c>
      <c r="G357">
        <f t="shared" si="74"/>
        <v>989.42857142857144</v>
      </c>
      <c r="H357">
        <f t="shared" si="75"/>
        <v>0.45539159448729688</v>
      </c>
      <c r="I357">
        <f t="shared" si="76"/>
        <v>1.1968630592278449E-2</v>
      </c>
      <c r="K357">
        <f t="shared" si="79"/>
        <v>583363.46947149478</v>
      </c>
      <c r="L357">
        <f t="shared" si="80"/>
        <v>13730.011927656251</v>
      </c>
      <c r="M357">
        <f t="shared" si="82"/>
        <v>563368.29064519517</v>
      </c>
      <c r="N357">
        <f t="shared" si="81"/>
        <v>1944571.0798554646</v>
      </c>
    </row>
    <row r="358" spans="1:15" x14ac:dyDescent="0.25">
      <c r="A358" s="1">
        <v>44551</v>
      </c>
      <c r="B358">
        <v>560351</v>
      </c>
      <c r="C358">
        <f t="shared" si="77"/>
        <v>3322</v>
      </c>
      <c r="D358">
        <f t="shared" si="78"/>
        <v>14064</v>
      </c>
      <c r="E358">
        <v>2030217</v>
      </c>
      <c r="F358">
        <f t="shared" si="73"/>
        <v>608469</v>
      </c>
      <c r="G358">
        <f t="shared" si="74"/>
        <v>1566.8571428571429</v>
      </c>
      <c r="H358">
        <f t="shared" si="75"/>
        <v>0.58573523557822227</v>
      </c>
      <c r="I358">
        <f t="shared" si="76"/>
        <v>3.4890848999702532E-3</v>
      </c>
      <c r="K358">
        <f t="shared" si="79"/>
        <v>579850.68088186695</v>
      </c>
      <c r="L358">
        <f t="shared" si="80"/>
        <v>13740.002353684371</v>
      </c>
      <c r="M358">
        <f t="shared" si="82"/>
        <v>564741.29183796083</v>
      </c>
      <c r="N358">
        <f t="shared" si="81"/>
        <v>1946700.8768262987</v>
      </c>
    </row>
    <row r="359" spans="1:15" x14ac:dyDescent="0.25">
      <c r="A359" s="1">
        <v>44552</v>
      </c>
      <c r="B359">
        <v>563955</v>
      </c>
      <c r="C359">
        <f t="shared" si="77"/>
        <v>3604</v>
      </c>
      <c r="D359">
        <f t="shared" si="78"/>
        <v>17668</v>
      </c>
      <c r="E359">
        <v>2032340</v>
      </c>
      <c r="F359">
        <f t="shared" si="73"/>
        <v>602742</v>
      </c>
      <c r="G359">
        <f t="shared" si="74"/>
        <v>1445.5714285714287</v>
      </c>
      <c r="H359">
        <f t="shared" si="75"/>
        <v>0.43425014649158333</v>
      </c>
      <c r="I359">
        <f t="shared" si="76"/>
        <v>5.2758891864180691E-3</v>
      </c>
      <c r="K359">
        <f t="shared" si="79"/>
        <v>576358.04469053773</v>
      </c>
      <c r="L359">
        <f t="shared" si="80"/>
        <v>13741.666150251827</v>
      </c>
      <c r="M359">
        <f t="shared" si="82"/>
        <v>566115.29207332921</v>
      </c>
      <c r="N359">
        <f t="shared" si="81"/>
        <v>1948817.848985692</v>
      </c>
    </row>
    <row r="360" spans="1:15" x14ac:dyDescent="0.25">
      <c r="A360" s="1">
        <v>44553</v>
      </c>
      <c r="B360">
        <v>563955</v>
      </c>
      <c r="C360">
        <f t="shared" si="77"/>
        <v>0</v>
      </c>
      <c r="D360">
        <f t="shared" si="78"/>
        <v>17668</v>
      </c>
      <c r="E360">
        <v>2035520</v>
      </c>
      <c r="F360">
        <f t="shared" si="73"/>
        <v>599562</v>
      </c>
      <c r="G360">
        <f t="shared" si="74"/>
        <v>1649.4285714285713</v>
      </c>
      <c r="H360">
        <f t="shared" si="75"/>
        <v>0.49811691083818999</v>
      </c>
      <c r="I360">
        <f t="shared" si="76"/>
        <v>2.4351109643372995E-4</v>
      </c>
      <c r="K360">
        <f t="shared" si="79"/>
        <v>572886.28024704056</v>
      </c>
      <c r="L360">
        <f t="shared" si="80"/>
        <v>13735.043056543282</v>
      </c>
      <c r="M360">
        <f t="shared" si="82"/>
        <v>567489.45868835435</v>
      </c>
      <c r="N360">
        <f t="shared" si="81"/>
        <v>1950922.0699078727</v>
      </c>
    </row>
    <row r="361" spans="1:15" x14ac:dyDescent="0.25">
      <c r="A361" s="1">
        <v>44554</v>
      </c>
      <c r="B361">
        <v>563955</v>
      </c>
      <c r="C361">
        <f t="shared" si="77"/>
        <v>0</v>
      </c>
      <c r="D361">
        <f t="shared" si="78"/>
        <v>14313</v>
      </c>
      <c r="E361">
        <f>E360+146</f>
        <v>2035666</v>
      </c>
      <c r="F361">
        <f t="shared" si="73"/>
        <v>599416</v>
      </c>
      <c r="G361">
        <f t="shared" si="74"/>
        <v>1649.4285714285713</v>
      </c>
      <c r="H361">
        <f t="shared" si="75"/>
        <v>0.61502642199318658</v>
      </c>
      <c r="I361">
        <f t="shared" si="76"/>
        <v>2.4357040853097015E-4</v>
      </c>
      <c r="K361">
        <f t="shared" si="79"/>
        <v>569436.08355588454</v>
      </c>
      <c r="L361">
        <f t="shared" si="80"/>
        <v>13720.189556581881</v>
      </c>
      <c r="M361">
        <f t="shared" si="82"/>
        <v>568862.96299400867</v>
      </c>
      <c r="N361">
        <f t="shared" si="81"/>
        <v>1953013.6157933357</v>
      </c>
    </row>
    <row r="362" spans="1:15" x14ac:dyDescent="0.25">
      <c r="A362" s="1">
        <v>44555</v>
      </c>
      <c r="B362">
        <v>563955</v>
      </c>
      <c r="C362">
        <f t="shared" si="77"/>
        <v>0</v>
      </c>
      <c r="D362">
        <f t="shared" si="78"/>
        <v>10548</v>
      </c>
      <c r="E362">
        <f>E361+146</f>
        <v>2035812</v>
      </c>
      <c r="F362">
        <f t="shared" si="73"/>
        <v>599270</v>
      </c>
      <c r="G362">
        <f t="shared" si="74"/>
        <v>1649.4285714285713</v>
      </c>
      <c r="H362">
        <f t="shared" si="75"/>
        <v>0.83475709326658754</v>
      </c>
      <c r="I362">
        <f t="shared" si="76"/>
        <v>2.4362974952859312E-4</v>
      </c>
      <c r="K362">
        <f t="shared" si="79"/>
        <v>566008.12604667514</v>
      </c>
      <c r="L362">
        <f t="shared" si="80"/>
        <v>13697.178519855046</v>
      </c>
      <c r="M362">
        <f t="shared" si="82"/>
        <v>570234.98194966686</v>
      </c>
      <c r="N362">
        <f t="shared" si="81"/>
        <v>1955092.5653836138</v>
      </c>
    </row>
    <row r="363" spans="1:15" x14ac:dyDescent="0.25">
      <c r="A363" s="1">
        <v>44556</v>
      </c>
      <c r="B363">
        <v>563955</v>
      </c>
      <c r="C363">
        <f t="shared" si="77"/>
        <v>0</v>
      </c>
      <c r="D363">
        <f t="shared" si="78"/>
        <v>10548</v>
      </c>
      <c r="E363">
        <f>E362+146</f>
        <v>2035958</v>
      </c>
      <c r="F363">
        <f t="shared" si="73"/>
        <v>599124</v>
      </c>
      <c r="G363">
        <v>1649.4285714285713</v>
      </c>
      <c r="H363">
        <f t="shared" si="75"/>
        <v>0.83496051448759834</v>
      </c>
      <c r="I363">
        <f t="shared" si="76"/>
        <v>2.4535822300558816E-4</v>
      </c>
      <c r="K363">
        <f t="shared" si="79"/>
        <v>562603.05344465759</v>
      </c>
      <c r="L363">
        <f t="shared" si="80"/>
        <v>13666.098781944655</v>
      </c>
      <c r="M363">
        <f t="shared" si="82"/>
        <v>571604.69980165234</v>
      </c>
      <c r="N363">
        <f t="shared" si="81"/>
        <v>1957158.9998715564</v>
      </c>
    </row>
    <row r="364" spans="1:15" x14ac:dyDescent="0.25">
      <c r="A364" s="1">
        <v>44557</v>
      </c>
      <c r="B364">
        <v>567997</v>
      </c>
      <c r="C364">
        <f t="shared" si="77"/>
        <v>4042</v>
      </c>
      <c r="D364">
        <f t="shared" si="78"/>
        <v>14590</v>
      </c>
      <c r="E364">
        <v>2036105</v>
      </c>
      <c r="F364">
        <f t="shared" si="73"/>
        <v>594935</v>
      </c>
      <c r="G364">
        <v>1649.4285714285713</v>
      </c>
      <c r="H364">
        <f t="shared" si="75"/>
        <v>0.60789415166090166</v>
      </c>
      <c r="I364">
        <f t="shared" si="76"/>
        <v>1.2939228655231243E-2</v>
      </c>
      <c r="K364">
        <f t="shared" si="79"/>
        <v>559221.48474401562</v>
      </c>
      <c r="L364">
        <f t="shared" si="80"/>
        <v>13627.054668462682</v>
      </c>
      <c r="M364">
        <f t="shared" si="82"/>
        <v>572971.30967984686</v>
      </c>
      <c r="N364">
        <f t="shared" si="81"/>
        <v>1959213.0028074859</v>
      </c>
    </row>
    <row r="365" spans="1:15" x14ac:dyDescent="0.25">
      <c r="A365" s="1">
        <v>44558</v>
      </c>
      <c r="B365">
        <v>570470</v>
      </c>
      <c r="C365">
        <f t="shared" si="77"/>
        <v>2473</v>
      </c>
      <c r="D365">
        <f t="shared" si="78"/>
        <v>13441</v>
      </c>
      <c r="E365">
        <v>2043803</v>
      </c>
      <c r="F365">
        <f t="shared" si="73"/>
        <v>584764</v>
      </c>
      <c r="G365">
        <v>1072</v>
      </c>
      <c r="H365">
        <f t="shared" si="75"/>
        <v>0.43631670335669176</v>
      </c>
      <c r="I365">
        <f t="shared" si="76"/>
        <v>3.1157868815453755E-3</v>
      </c>
      <c r="K365">
        <f t="shared" si="79"/>
        <v>555864.01128562179</v>
      </c>
      <c r="L365">
        <f t="shared" si="80"/>
        <v>13580.165465890483</v>
      </c>
      <c r="M365">
        <f t="shared" si="82"/>
        <v>574334.0151466931</v>
      </c>
      <c r="N365">
        <f t="shared" si="81"/>
        <v>1961254.6600016057</v>
      </c>
    </row>
    <row r="366" spans="1:15" x14ac:dyDescent="0.25">
      <c r="A366" s="1">
        <v>44559</v>
      </c>
      <c r="B366">
        <v>575501</v>
      </c>
      <c r="C366">
        <f t="shared" si="77"/>
        <v>5031</v>
      </c>
      <c r="D366">
        <f t="shared" si="78"/>
        <v>18472</v>
      </c>
      <c r="E366">
        <v>2045625</v>
      </c>
      <c r="F366">
        <f t="shared" si="73"/>
        <v>577911</v>
      </c>
      <c r="G366">
        <v>2416.5714285714284</v>
      </c>
      <c r="H366">
        <f t="shared" si="75"/>
        <v>0.72417581833213207</v>
      </c>
      <c r="I366">
        <f t="shared" si="76"/>
        <v>3.5489893772570518E-3</v>
      </c>
      <c r="K366">
        <f t="shared" si="79"/>
        <v>552531.19594030816</v>
      </c>
      <c r="L366">
        <f t="shared" si="80"/>
        <v>13525.564843179951</v>
      </c>
      <c r="M366">
        <f t="shared" si="82"/>
        <v>575692.03169328219</v>
      </c>
      <c r="N366">
        <f t="shared" si="81"/>
        <v>1963284.0594230408</v>
      </c>
    </row>
    <row r="367" spans="1:15" x14ac:dyDescent="0.25">
      <c r="A367" s="1">
        <v>44560</v>
      </c>
      <c r="B367">
        <v>575501</v>
      </c>
      <c r="C367">
        <f t="shared" si="77"/>
        <v>0</v>
      </c>
      <c r="D367">
        <f t="shared" si="78"/>
        <v>18472</v>
      </c>
      <c r="E367">
        <v>2047676</v>
      </c>
      <c r="F367">
        <f t="shared" si="73"/>
        <v>575860</v>
      </c>
      <c r="G367">
        <v>2970.7142857142858</v>
      </c>
      <c r="H367">
        <f t="shared" si="75"/>
        <v>0.89340692615589412</v>
      </c>
      <c r="I367">
        <f t="shared" si="76"/>
        <v>3.4730663702983366E-3</v>
      </c>
      <c r="K367">
        <f t="shared" si="79"/>
        <v>549223.57239811798</v>
      </c>
      <c r="L367">
        <f t="shared" si="80"/>
        <v>13463.400228196249</v>
      </c>
      <c r="M367">
        <f t="shared" si="82"/>
        <v>577044.58817760018</v>
      </c>
      <c r="N367">
        <f t="shared" si="81"/>
        <v>1965301.2910958969</v>
      </c>
    </row>
    <row r="368" spans="1:15" x14ac:dyDescent="0.25">
      <c r="A368" s="1">
        <v>44561</v>
      </c>
      <c r="B368">
        <v>575501</v>
      </c>
      <c r="C368">
        <f t="shared" si="77"/>
        <v>0</v>
      </c>
      <c r="D368">
        <f t="shared" si="78"/>
        <v>15150</v>
      </c>
      <c r="E368">
        <f>E367+2000</f>
        <v>2049676</v>
      </c>
      <c r="F368">
        <f t="shared" si="73"/>
        <v>573860</v>
      </c>
      <c r="G368">
        <v>2970.7142857142858</v>
      </c>
      <c r="H368">
        <f t="shared" si="75"/>
        <v>1.093104195032973</v>
      </c>
      <c r="I368">
        <f>(2049876-E368)/F368</f>
        <v>3.485170599100826E-4</v>
      </c>
      <c r="K368">
        <f>K367-($R$15*K367*L367/$B$1)-($S$15*K367)</f>
        <v>545941.64456340391</v>
      </c>
      <c r="L368">
        <f t="shared" si="80"/>
        <v>13393.832143263695</v>
      </c>
      <c r="M368">
        <f t="shared" si="82"/>
        <v>578390.92820041976</v>
      </c>
      <c r="N368">
        <f t="shared" si="81"/>
        <v>1967306.4469927237</v>
      </c>
      <c r="O368">
        <f>SUM(K368:N368)</f>
        <v>3105032.8518998111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cp:lastModifiedBy>Tanner Laukhuff</cp:lastModifiedBy>
  <dcterms:created xsi:type="dcterms:W3CDTF">2015-06-05T18:17:20Z</dcterms:created>
  <dcterms:modified xsi:type="dcterms:W3CDTF">2026-10-19T22:40:53Z</dcterms:modified>
</cp:coreProperties>
</file>